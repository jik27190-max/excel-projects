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f69711755cde1a6/Documents/"/>
    </mc:Choice>
  </mc:AlternateContent>
  <xr:revisionPtr revIDLastSave="0" documentId="8_{1D8AE0C1-9428-4DA1-A04D-E3800C0DDEFD}" xr6:coauthVersionLast="47" xr6:coauthVersionMax="47" xr10:uidLastSave="{00000000-0000-0000-0000-000000000000}"/>
  <bookViews>
    <workbookView xWindow="-120" yWindow="-120" windowWidth="29040" windowHeight="15720" xr2:uid="{9E1A7E6D-B420-4E0D-9148-646249F1E588}"/>
  </bookViews>
  <sheets>
    <sheet name="HOME" sheetId="1" r:id="rId1"/>
    <sheet name="INPUT" sheetId="2" r:id="rId2"/>
    <sheet name="CALCULATOR" sheetId="3" r:id="rId3"/>
    <sheet name="RESULT" sheetId="4" r:id="rId4"/>
    <sheet name="SETT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0" i="1" l="1"/>
  <c r="R22" i="3"/>
  <c r="Q22" i="3"/>
  <c r="P22" i="3"/>
  <c r="O22" i="3"/>
  <c r="N22" i="3"/>
  <c r="R21" i="3"/>
  <c r="Q21" i="3"/>
  <c r="P21" i="3"/>
  <c r="O21" i="3"/>
  <c r="N21" i="3"/>
  <c r="R20" i="3"/>
  <c r="Q20" i="3"/>
  <c r="P20" i="3"/>
  <c r="O20" i="3"/>
  <c r="N20" i="3"/>
  <c r="R19" i="3"/>
  <c r="Q19" i="3"/>
  <c r="P19" i="3"/>
  <c r="O19" i="3"/>
  <c r="N19" i="3"/>
  <c r="R18" i="3"/>
  <c r="Q18" i="3"/>
  <c r="P18" i="3"/>
  <c r="O18" i="3"/>
  <c r="N18" i="3"/>
  <c r="R17" i="3"/>
  <c r="Q17" i="3"/>
  <c r="P17" i="3"/>
  <c r="O17" i="3"/>
  <c r="N17" i="3"/>
  <c r="R16" i="3"/>
  <c r="Q16" i="3"/>
  <c r="P16" i="3"/>
  <c r="O16" i="3"/>
  <c r="N16" i="3"/>
  <c r="R15" i="3"/>
  <c r="Q15" i="3"/>
  <c r="P15" i="3"/>
  <c r="O15" i="3"/>
  <c r="N15" i="3"/>
  <c r="R14" i="3"/>
  <c r="Q14" i="3"/>
  <c r="P14" i="3"/>
  <c r="O14" i="3"/>
  <c r="B26" i="1"/>
  <c r="K11" i="1"/>
  <c r="F11" i="1"/>
  <c r="A11" i="1"/>
  <c r="E47" i="4"/>
  <c r="C47" i="4"/>
  <c r="A47" i="4"/>
  <c r="F42" i="4"/>
  <c r="F41" i="4"/>
  <c r="F35" i="4"/>
  <c r="E35" i="4"/>
  <c r="D35" i="4"/>
  <c r="C35" i="4"/>
  <c r="B35" i="4"/>
  <c r="A35" i="4"/>
  <c r="F34" i="4"/>
  <c r="E34" i="4"/>
  <c r="D34" i="4"/>
  <c r="C34" i="4"/>
  <c r="B34" i="4"/>
  <c r="A34" i="4"/>
  <c r="F33" i="4"/>
  <c r="B33" i="4"/>
  <c r="A33" i="4"/>
  <c r="F32" i="4"/>
  <c r="B32" i="4"/>
  <c r="A32" i="4"/>
  <c r="F31" i="4"/>
  <c r="B31" i="4"/>
  <c r="A31" i="4"/>
  <c r="A30" i="4"/>
  <c r="A29" i="4"/>
  <c r="F28" i="4"/>
  <c r="B28" i="4"/>
  <c r="A28" i="4"/>
  <c r="F27" i="4"/>
  <c r="F24" i="4"/>
  <c r="E24" i="4"/>
  <c r="D24" i="4"/>
  <c r="C24" i="4"/>
  <c r="B24" i="4"/>
  <c r="A24" i="4"/>
  <c r="F23" i="4"/>
  <c r="E23" i="4"/>
  <c r="D23" i="4"/>
  <c r="C23" i="4"/>
  <c r="B23" i="4"/>
  <c r="A23" i="4"/>
  <c r="F22" i="4"/>
  <c r="E22" i="4"/>
  <c r="D22" i="4"/>
  <c r="C22" i="4"/>
  <c r="B22" i="4"/>
  <c r="A22" i="4"/>
  <c r="F21" i="4"/>
  <c r="E21" i="4"/>
  <c r="D21" i="4"/>
  <c r="C21" i="4"/>
  <c r="B21" i="4"/>
  <c r="A21" i="4"/>
  <c r="F20" i="4"/>
  <c r="E20" i="4"/>
  <c r="D20" i="4"/>
  <c r="C20" i="4"/>
  <c r="B20" i="4"/>
  <c r="A20" i="4"/>
  <c r="F19" i="4"/>
  <c r="E19" i="4"/>
  <c r="D19" i="4"/>
  <c r="C19" i="4"/>
  <c r="B19" i="4"/>
  <c r="A19" i="4"/>
  <c r="F18" i="4"/>
  <c r="E18" i="4"/>
  <c r="D18" i="4"/>
  <c r="C18" i="4"/>
  <c r="B18" i="4"/>
  <c r="A18" i="4"/>
  <c r="F17" i="4"/>
  <c r="E17" i="4"/>
  <c r="D17" i="4"/>
  <c r="C17" i="4"/>
  <c r="B17" i="4"/>
  <c r="A17" i="4"/>
  <c r="F16" i="4"/>
  <c r="E16" i="4"/>
  <c r="E27" i="4" s="1"/>
  <c r="D16" i="4"/>
  <c r="D27" i="4" s="1"/>
  <c r="C16" i="4"/>
  <c r="C27" i="4" s="1"/>
  <c r="L12" i="4"/>
  <c r="L11" i="4"/>
  <c r="L10" i="4"/>
  <c r="L9" i="4"/>
  <c r="J8" i="4"/>
  <c r="J4" i="4"/>
  <c r="B4" i="4"/>
  <c r="I29" i="3"/>
  <c r="L22" i="3"/>
  <c r="K22" i="3"/>
  <c r="J22" i="3"/>
  <c r="L21" i="3"/>
  <c r="K21" i="3"/>
  <c r="J21" i="3"/>
  <c r="L20" i="3"/>
  <c r="K20" i="3"/>
  <c r="J20" i="3"/>
  <c r="L19" i="3"/>
  <c r="K19" i="3"/>
  <c r="J19" i="3"/>
  <c r="L18" i="3"/>
  <c r="K18" i="3"/>
  <c r="J18" i="3"/>
  <c r="L17" i="3"/>
  <c r="K17" i="3"/>
  <c r="J17" i="3"/>
  <c r="L16" i="3"/>
  <c r="K16" i="3"/>
  <c r="J16" i="3"/>
  <c r="L15" i="3"/>
  <c r="K15" i="3"/>
  <c r="J15" i="3"/>
  <c r="F23" i="3"/>
  <c r="F22" i="3"/>
  <c r="E22" i="3"/>
  <c r="D22" i="3"/>
  <c r="C22" i="3"/>
  <c r="B22" i="3"/>
  <c r="A22" i="3"/>
  <c r="F21" i="3"/>
  <c r="E21" i="3"/>
  <c r="D21" i="3"/>
  <c r="C21" i="3"/>
  <c r="B21" i="3"/>
  <c r="A21" i="3"/>
  <c r="F20" i="3"/>
  <c r="E20" i="3"/>
  <c r="E33" i="4" s="1"/>
  <c r="D20" i="3"/>
  <c r="D33" i="4" s="1"/>
  <c r="C20" i="3"/>
  <c r="C33" i="4" s="1"/>
  <c r="B20" i="3"/>
  <c r="A20" i="3"/>
  <c r="F19" i="3"/>
  <c r="E19" i="3"/>
  <c r="E32" i="4" s="1"/>
  <c r="D19" i="3"/>
  <c r="D32" i="4" s="1"/>
  <c r="C19" i="3"/>
  <c r="C32" i="4" s="1"/>
  <c r="B19" i="3"/>
  <c r="A19" i="3"/>
  <c r="F18" i="3"/>
  <c r="E18" i="3"/>
  <c r="E31" i="4" s="1"/>
  <c r="D18" i="3"/>
  <c r="D31" i="4" s="1"/>
  <c r="C18" i="3"/>
  <c r="C31" i="4" s="1"/>
  <c r="B18" i="3"/>
  <c r="A18" i="3"/>
  <c r="F17" i="3"/>
  <c r="F30" i="4" s="1"/>
  <c r="E17" i="3"/>
  <c r="E30" i="4" s="1"/>
  <c r="D17" i="3"/>
  <c r="D30" i="4" s="1"/>
  <c r="C17" i="3"/>
  <c r="C30" i="4" s="1"/>
  <c r="B17" i="3"/>
  <c r="B30" i="4" s="1"/>
  <c r="A17" i="3"/>
  <c r="F16" i="3"/>
  <c r="F29" i="4" s="1"/>
  <c r="E16" i="3"/>
  <c r="D16" i="3"/>
  <c r="C16" i="3"/>
  <c r="B16" i="3"/>
  <c r="A16" i="3"/>
  <c r="F15" i="3"/>
  <c r="E15" i="3"/>
  <c r="E28" i="4" s="1"/>
  <c r="D15" i="3"/>
  <c r="D28" i="4" s="1"/>
  <c r="C15" i="3"/>
  <c r="C28" i="4" s="1"/>
  <c r="B15" i="3"/>
  <c r="A15" i="3"/>
  <c r="F14" i="3"/>
  <c r="E14" i="3"/>
  <c r="D14" i="3"/>
  <c r="C14" i="3"/>
  <c r="B9" i="3" a="1"/>
  <c r="A9" i="3"/>
  <c r="A8" i="3"/>
  <c r="A7" i="3"/>
  <c r="A6" i="3"/>
  <c r="A35" i="2"/>
  <c r="A34" i="2"/>
  <c r="A33" i="2"/>
  <c r="A32" i="2"/>
  <c r="A31" i="2"/>
  <c r="A30" i="2"/>
  <c r="A29" i="2"/>
  <c r="A28" i="2"/>
  <c r="E27" i="2"/>
  <c r="D27" i="2"/>
  <c r="C27" i="2"/>
  <c r="B27" i="2"/>
  <c r="B23" i="2"/>
  <c r="C23" i="2" s="1"/>
  <c r="B28" i="1" s="1"/>
  <c r="G8" i="4" l="1"/>
  <c r="B8" i="3" a="1"/>
  <c r="I28" i="3"/>
  <c r="E41" i="4" s="1"/>
  <c r="B7" i="3" a="1"/>
  <c r="D8" i="4"/>
  <c r="I27" i="3"/>
  <c r="D41" i="4" s="1"/>
  <c r="I26" i="3"/>
  <c r="C41" i="4" s="1"/>
  <c r="G8" i="3" a="1"/>
  <c r="H8" i="3" s="1" a="1"/>
  <c r="B6" i="3" a="1"/>
  <c r="A8" i="4"/>
  <c r="G7" i="3" a="1"/>
  <c r="H7" i="3" s="1" a="1"/>
  <c r="G6" i="3" a="1"/>
  <c r="H6" i="3" s="1" a="1"/>
  <c r="G9" i="3" a="1"/>
  <c r="H9" i="3" s="1" a="1"/>
  <c r="L29" i="3"/>
  <c r="F45" i="4" s="1"/>
  <c r="L28" i="3"/>
  <c r="E45" i="4" s="1"/>
  <c r="L26" i="3"/>
  <c r="C45" i="4" s="1"/>
  <c r="L27" i="3"/>
  <c r="D45" i="4" s="1"/>
  <c r="K28" i="3"/>
  <c r="E44" i="4" s="1"/>
  <c r="K26" i="3"/>
  <c r="C44" i="4" s="1"/>
  <c r="K29" i="3"/>
  <c r="F44" i="4" s="1"/>
  <c r="K27" i="3"/>
  <c r="D44" i="4" s="1"/>
  <c r="J27" i="3"/>
  <c r="D43" i="4" s="1"/>
  <c r="J26" i="3"/>
  <c r="C43" i="4" s="1"/>
  <c r="J29" i="3"/>
  <c r="F43" i="4" s="1"/>
  <c r="J28" i="3"/>
  <c r="E43" i="4" s="1"/>
  <c r="E29" i="4"/>
  <c r="E23" i="3"/>
  <c r="D29" i="4"/>
  <c r="D23" i="3"/>
  <c r="C29" i="4"/>
  <c r="C23" i="3"/>
  <c r="B29" i="4"/>
  <c r="B23" i="3"/>
  <c r="E9" i="3"/>
  <c r="D9" i="3"/>
  <c r="C9" i="3"/>
  <c r="E8" i="3"/>
  <c r="I10" i="4" s="1"/>
  <c r="C8" i="3"/>
  <c r="I11" i="4" s="1"/>
  <c r="F9" i="4"/>
  <c r="D42" i="4"/>
  <c r="E7" i="3"/>
  <c r="F10" i="4" s="1"/>
  <c r="C7" i="3"/>
  <c r="F11" i="4" s="1"/>
  <c r="E42" i="4" l="1"/>
  <c r="I9" i="4"/>
  <c r="D8" i="3"/>
  <c r="I12" i="4" s="1"/>
  <c r="E6" i="3"/>
  <c r="C10" i="4" s="1"/>
  <c r="D6" i="3"/>
  <c r="C12" i="4" s="1"/>
  <c r="C6" i="3"/>
  <c r="C11" i="4" s="1"/>
  <c r="D7" i="3"/>
  <c r="F12" i="4" s="1"/>
  <c r="C9" i="4"/>
  <c r="D27" i="1"/>
  <c r="B11" i="3"/>
  <c r="C42" i="4"/>
  <c r="G45" i="4"/>
  <c r="G43" i="4"/>
  <c r="G44" i="4"/>
  <c r="G42" i="4" l="1"/>
  <c r="A6" i="4"/>
  <c r="B2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<sst xmlns="http://schemas.openxmlformats.org/spreadsheetml/2006/main" count="165" uniqueCount="119">
  <si>
    <t>DECISION TYPES</t>
  </si>
  <si>
    <t>Laptop</t>
  </si>
  <si>
    <t>Smartphone</t>
  </si>
  <si>
    <t>Car</t>
  </si>
  <si>
    <t>College</t>
  </si>
  <si>
    <t>Course</t>
  </si>
  <si>
    <t>Job</t>
  </si>
  <si>
    <t>Subscription</t>
  </si>
  <si>
    <t>Vacation</t>
  </si>
  <si>
    <t>Monthly Budget</t>
  </si>
  <si>
    <t>Other</t>
  </si>
  <si>
    <t>COMMON CRITERIA</t>
  </si>
  <si>
    <t>Price</t>
  </si>
  <si>
    <t>Performance</t>
  </si>
  <si>
    <t>Battery</t>
  </si>
  <si>
    <t>Display</t>
  </si>
  <si>
    <t>Upgradeability</t>
  </si>
  <si>
    <t>Warranty</t>
  </si>
  <si>
    <t>Reliability</t>
  </si>
  <si>
    <t>Comfort</t>
  </si>
  <si>
    <t>Brand</t>
  </si>
  <si>
    <t>Support</t>
  </si>
  <si>
    <t>Resale Value</t>
  </si>
  <si>
    <t>Portability</t>
  </si>
  <si>
    <t>Features</t>
  </si>
  <si>
    <t>Value for Money</t>
  </si>
  <si>
    <t>SCENARIO WEIGHT PROFILES</t>
  </si>
  <si>
    <t>Criterion</t>
  </si>
  <si>
    <t>Budget Focus</t>
  </si>
  <si>
    <t>Performance Focus</t>
  </si>
  <si>
    <t>Long-Term Focus</t>
  </si>
  <si>
    <t>How scenarios work</t>
  </si>
  <si>
    <t>Score scale</t>
  </si>
  <si>
    <t>Minimum score</t>
  </si>
  <si>
    <t>Maximum score</t>
  </si>
  <si>
    <t>App</t>
  </si>
  <si>
    <t>Name</t>
  </si>
  <si>
    <t>DECISION ENGINE</t>
  </si>
  <si>
    <t>Version</t>
  </si>
  <si>
    <t>DECISION INPUT</t>
  </si>
  <si>
    <t>Decision Name</t>
  </si>
  <si>
    <t>Which laptop should I buy?</t>
  </si>
  <si>
    <t>Decision Type</t>
  </si>
  <si>
    <t>OPTIONS</t>
  </si>
  <si>
    <t>Option</t>
  </si>
  <si>
    <t>CRITERIA AND IMPORTANCE</t>
  </si>
  <si>
    <t>Importance</t>
  </si>
  <si>
    <t>TOTAL WEIGHT</t>
  </si>
  <si>
    <t>OPTION SCORES</t>
  </si>
  <si>
    <t>CALCULATION ENGINE</t>
  </si>
  <si>
    <t>Weighted Score</t>
  </si>
  <si>
    <t>Percentage</t>
  </si>
  <si>
    <t>Position</t>
  </si>
  <si>
    <t>Score / 10</t>
  </si>
  <si>
    <t>Chart label</t>
  </si>
  <si>
    <t>Chart score</t>
  </si>
  <si>
    <t>Winner</t>
  </si>
  <si>
    <t>WEIGHTED CONTRIBUTION BY CRITERION</t>
  </si>
  <si>
    <t>Total</t>
  </si>
  <si>
    <t>Scenario score</t>
  </si>
  <si>
    <t>DECISION ANALYSIS</t>
  </si>
  <si>
    <t>Decision:</t>
  </si>
  <si>
    <t>Type:</t>
  </si>
  <si>
    <t>OPTION 1</t>
  </si>
  <si>
    <t>Weighted score</t>
  </si>
  <si>
    <t>Score out of 10</t>
  </si>
  <si>
    <t>OPTION 2</t>
  </si>
  <si>
    <t>OPTION 3</t>
  </si>
  <si>
    <t>OPTION 4</t>
  </si>
  <si>
    <t>DETAILED COMPARISON</t>
  </si>
  <si>
    <t>Criteria</t>
  </si>
  <si>
    <t>CRITERIA ANALYSIS</t>
  </si>
  <si>
    <t>WHAT-IF ANALYSIS</t>
  </si>
  <si>
    <t>Scenario</t>
  </si>
  <si>
    <t>What it emphasizes</t>
  </si>
  <si>
    <t>Leader</t>
  </si>
  <si>
    <t>Current weights</t>
  </si>
  <si>
    <t>Your INPUT priorities</t>
  </si>
  <si>
    <t>Make Better Decisions Using Your Priorities</t>
  </si>
  <si>
    <t>INPUT</t>
  </si>
  <si>
    <t>RESULT</t>
  </si>
  <si>
    <t>SETTINGS</t>
  </si>
  <si>
    <t>HOW IT WORKS</t>
  </si>
  <si>
    <t>Define your decision</t>
  </si>
  <si>
    <t>Add the options</t>
  </si>
  <si>
    <t>Choose your criteria</t>
  </si>
  <si>
    <t>Set importance weights</t>
  </si>
  <si>
    <t>Rate each option</t>
  </si>
  <si>
    <t>Review the results</t>
  </si>
  <si>
    <t>CURRENT DECISION</t>
  </si>
  <si>
    <t>Decision</t>
  </si>
  <si>
    <t>Leading option</t>
  </si>
  <si>
    <t>Weights</t>
  </si>
  <si>
    <t>Write the question you need to answer.</t>
  </si>
  <si>
    <t>Enter up to four choices. Blank options are ignored.</t>
  </si>
  <si>
    <t>Add up to eight factors that matter.</t>
  </si>
  <si>
    <t>Percentages must total 100%.</t>
  </si>
  <si>
    <t>Score each option from 1 to 10.</t>
  </si>
  <si>
    <t>Open RESULT. A new weight updates the rank.</t>
  </si>
  <si>
    <t>Example loaded: laptop purchase.</t>
  </si>
  <si>
    <t>Up to 4 names. Leave unused options blank.</t>
  </si>
  <si>
    <t>Weights must total 100%.</t>
  </si>
  <si>
    <t>Scores are whole numbers from 1 to 10.</t>
  </si>
  <si>
    <t>SCENARIO WEIGHTS</t>
  </si>
  <si>
    <t>Weighted contribution = score x importance. Radar uses raw 1-10 scores.</t>
  </si>
  <si>
    <t>Price 50%</t>
  </si>
  <si>
    <t>Performance 45%</t>
  </si>
  <si>
    <t>Warranty 30%, upgrades 25%</t>
  </si>
  <si>
    <t>Add options, weights, and scores.</t>
  </si>
  <si>
    <t>Scores, rank, and charts.</t>
  </si>
  <si>
    <t>Types and scenario profiles.</t>
  </si>
  <si>
    <t>Blue cells are inputs.</t>
  </si>
  <si>
    <t>Formulas only. Score x weight, 0-10 scale.</t>
  </si>
  <si>
    <t>Change INPUT weights. Profiles rescale to 0-10.</t>
  </si>
  <si>
    <t>Other criteria keep the INPUT weight.</t>
  </si>
  <si>
    <t>Compare options using custom criteria and importance weights.</t>
  </si>
  <si>
    <t>lenovo</t>
  </si>
  <si>
    <t>HP</t>
  </si>
  <si>
    <t>ASUS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</si>
</sst>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F5496"/>
      <name val="Calibri"/>
      <family val="2"/>
      <scheme val="minor"/>
    </font>
    <font>
      <b/>
      <sz val="32"/>
      <color rgb="FFFFFFFF"/>
      <name val="Calibri"/>
      <scheme val="minor"/>
    </font>
    <font>
      <sz val="11"/>
      <color theme="1"/>
      <name val="Calibri"/>
      <scheme val="minor"/>
    </font>
    <font>
      <i/>
      <sz val="16"/>
      <color rgb="FF1B365D"/>
      <name val="Calibri"/>
      <scheme val="minor"/>
    </font>
    <font>
      <sz val="12"/>
      <color rgb="FF1B365D"/>
      <name val="Calibri"/>
      <scheme val="minor"/>
    </font>
    <font>
      <b/>
      <sz val="18"/>
      <color rgb="FFFFFFFF"/>
      <name val="Calibri"/>
      <scheme val="minor"/>
    </font>
    <font>
      <b/>
      <sz val="16"/>
      <color rgb="FFFFFFFF"/>
      <name val="Calibri"/>
      <scheme val="minor"/>
    </font>
    <font>
      <u/>
      <sz val="12"/>
      <color rgb="FFFFFFFF"/>
      <name val="Calibri"/>
      <scheme val="minor"/>
    </font>
    <font>
      <u/>
      <sz val="11"/>
      <color rgb="FFFFFFFF"/>
      <name val="Calibri"/>
      <scheme val="minor"/>
    </font>
    <font>
      <sz val="10"/>
      <color rgb="FFFFFFFF"/>
      <name val="Calibri"/>
      <scheme val="minor"/>
    </font>
    <font>
      <b/>
      <sz val="14"/>
      <color rgb="FFFFFFFF"/>
      <name val="Calibri"/>
      <scheme val="minor"/>
    </font>
    <font>
      <b/>
      <sz val="11"/>
      <color rgb="FF1B365D"/>
      <name val="Calibri"/>
      <scheme val="minor"/>
    </font>
    <font>
      <sz val="11"/>
      <color rgb="FF5B6770"/>
      <name val="Calibri"/>
      <scheme val="minor"/>
    </font>
    <font>
      <b/>
      <sz val="14"/>
      <color rgb="FF1B365D"/>
      <name val="Calibri"/>
      <scheme val="minor"/>
    </font>
    <font>
      <b/>
      <sz val="12"/>
      <color rgb="FFFFFFFF"/>
      <name val="Calibri"/>
      <scheme val="minor"/>
    </font>
    <font>
      <sz val="12"/>
      <color rgb="FF006600"/>
      <name val="Calibri"/>
      <scheme val="minor"/>
    </font>
    <font>
      <b/>
      <sz val="12"/>
      <color rgb="FF006600"/>
      <name val="Calibri"/>
      <scheme val="minor"/>
    </font>
    <font>
      <sz val="11"/>
      <color rgb="FF006600"/>
      <name val="Calibri"/>
      <scheme val="minor"/>
    </font>
    <font>
      <u/>
      <sz val="11"/>
      <color rgb="FF2F5496"/>
      <name val="Calibri"/>
      <scheme val="minor"/>
    </font>
    <font>
      <i/>
      <sz val="11"/>
      <color rgb="FF5B6770"/>
      <name val="Calibri"/>
      <scheme val="minor"/>
    </font>
    <font>
      <b/>
      <sz val="22"/>
      <color rgb="FFFFFFFF"/>
      <name val="Calibri"/>
      <scheme val="minor"/>
    </font>
    <font>
      <sz val="14"/>
      <color rgb="FF0000FF"/>
      <name val="Calibri"/>
      <scheme val="minor"/>
    </font>
    <font>
      <sz val="11"/>
      <color rgb="FF0000FF"/>
      <name val="Calibri"/>
      <scheme val="minor"/>
    </font>
    <font>
      <b/>
      <sz val="11"/>
      <color rgb="FFFFFFFF"/>
      <name val="Calibri"/>
      <scheme val="minor"/>
    </font>
    <font>
      <b/>
      <sz val="11"/>
      <color rgb="FF0000FF"/>
      <name val="Calibri"/>
      <scheme val="minor"/>
    </font>
    <font>
      <b/>
      <i/>
      <sz val="11"/>
      <color rgb="FF5B6770"/>
      <name val="Calibri"/>
      <scheme val="minor"/>
    </font>
    <font>
      <b/>
      <sz val="11"/>
      <color theme="1"/>
      <name val="Calibri"/>
      <scheme val="minor"/>
    </font>
    <font>
      <b/>
      <sz val="20"/>
      <color rgb="FFFFFFFF"/>
      <name val="Calibri"/>
      <scheme val="minor"/>
    </font>
    <font>
      <b/>
      <sz val="11"/>
      <color rgb="FF006600"/>
      <name val="Calibri"/>
      <scheme val="minor"/>
    </font>
    <font>
      <b/>
      <sz val="12"/>
      <color rgb="FF1B365D"/>
      <name val="Calibri"/>
      <scheme val="minor"/>
    </font>
    <font>
      <b/>
      <sz val="14"/>
      <color rgb="FF006600"/>
      <name val="Calibri"/>
      <scheme val="minor"/>
    </font>
    <font>
      <b/>
      <sz val="14"/>
      <color rgb="FF0D5C3D"/>
      <name val="Calibri"/>
      <scheme val="minor"/>
    </font>
    <font>
      <b/>
      <sz val="16"/>
      <color rgb="FF1B365D"/>
      <name val="Calibri"/>
      <scheme val="minor"/>
    </font>
    <font>
      <i/>
      <sz val="14"/>
      <color rgb="FF1B365D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6F0FA"/>
        <bgColor indexed="64"/>
      </patternFill>
    </fill>
    <fill>
      <patternFill patternType="solid">
        <fgColor rgb="FF1F7A8C"/>
        <bgColor indexed="64"/>
      </patternFill>
    </fill>
    <fill>
      <patternFill patternType="solid">
        <fgColor rgb="FF5B6770"/>
        <bgColor indexed="64"/>
      </patternFill>
    </fill>
    <fill>
      <patternFill patternType="solid">
        <fgColor rgb="FFD6E3F0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4F7FB"/>
        <bgColor indexed="64"/>
      </patternFill>
    </fill>
    <fill>
      <patternFill patternType="solid">
        <fgColor rgb="FFF3F8F8"/>
        <bgColor indexed="64"/>
      </patternFill>
    </fill>
    <fill>
      <patternFill patternType="solid">
        <fgColor rgb="FFF7F7F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1">
    <xf numFmtId="0" fontId="0" fillId="0" borderId="0" xfId="0"/>
    <xf numFmtId="0" fontId="2" fillId="3" borderId="0" xfId="0" applyFont="1" applyFill="1"/>
    <xf numFmtId="1" fontId="0" fillId="0" borderId="0" xfId="0" applyNumberFormat="1"/>
    <xf numFmtId="0" fontId="3" fillId="0" borderId="0" xfId="1" applyFont="1"/>
    <xf numFmtId="0" fontId="5" fillId="0" borderId="0" xfId="0" applyFont="1"/>
    <xf numFmtId="0" fontId="13" fillId="3" borderId="0" xfId="0" applyFont="1" applyFill="1" applyAlignment="1">
      <alignment horizontal="center"/>
    </xf>
    <xf numFmtId="0" fontId="14" fillId="0" borderId="0" xfId="0" applyFont="1"/>
    <xf numFmtId="0" fontId="16" fillId="7" borderId="0" xfId="0" applyFont="1" applyFill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1" applyFont="1"/>
    <xf numFmtId="0" fontId="22" fillId="0" borderId="0" xfId="0" applyFont="1"/>
    <xf numFmtId="0" fontId="25" fillId="4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27" fillId="4" borderId="0" xfId="0" applyFont="1" applyFill="1" applyAlignment="1">
      <alignment horizontal="center"/>
    </xf>
    <xf numFmtId="0" fontId="25" fillId="4" borderId="0" xfId="0" applyFont="1" applyFill="1"/>
    <xf numFmtId="9" fontId="25" fillId="4" borderId="0" xfId="0" applyNumberFormat="1" applyFont="1" applyFill="1" applyAlignment="1">
      <alignment horizontal="center"/>
    </xf>
    <xf numFmtId="0" fontId="27" fillId="4" borderId="0" xfId="0" applyFont="1" applyFill="1"/>
    <xf numFmtId="9" fontId="29" fillId="0" borderId="0" xfId="0" applyNumberFormat="1" applyFont="1" applyAlignment="1">
      <alignment horizontal="center"/>
    </xf>
    <xf numFmtId="0" fontId="29" fillId="0" borderId="0" xfId="0" applyFont="1"/>
    <xf numFmtId="1" fontId="25" fillId="4" borderId="0" xfId="0" applyNumberFormat="1" applyFont="1" applyFill="1" applyAlignment="1">
      <alignment horizontal="center"/>
    </xf>
    <xf numFmtId="2" fontId="31" fillId="0" borderId="0" xfId="0" applyNumberFormat="1" applyFont="1"/>
    <xf numFmtId="164" fontId="20" fillId="0" borderId="0" xfId="0" applyNumberFormat="1" applyFont="1"/>
    <xf numFmtId="1" fontId="20" fillId="0" borderId="0" xfId="0" applyNumberFormat="1" applyFont="1" applyAlignment="1">
      <alignment horizontal="center"/>
    </xf>
    <xf numFmtId="2" fontId="5" fillId="0" borderId="0" xfId="0" applyNumberFormat="1" applyFont="1"/>
    <xf numFmtId="0" fontId="31" fillId="0" borderId="0" xfId="0" applyFont="1"/>
    <xf numFmtId="9" fontId="20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9" fontId="5" fillId="0" borderId="0" xfId="0" applyNumberFormat="1" applyFont="1"/>
    <xf numFmtId="2" fontId="29" fillId="0" borderId="0" xfId="0" applyNumberFormat="1" applyFont="1" applyAlignment="1">
      <alignment horizontal="center"/>
    </xf>
    <xf numFmtId="0" fontId="26" fillId="2" borderId="0" xfId="0" applyFont="1" applyFill="1"/>
    <xf numFmtId="0" fontId="26" fillId="2" borderId="0" xfId="0" applyFont="1" applyFill="1" applyAlignment="1">
      <alignment horizontal="center"/>
    </xf>
    <xf numFmtId="0" fontId="32" fillId="0" borderId="0" xfId="0" applyFont="1"/>
    <xf numFmtId="0" fontId="13" fillId="2" borderId="0" xfId="0" applyFont="1" applyFill="1"/>
    <xf numFmtId="1" fontId="25" fillId="4" borderId="0" xfId="0" applyNumberFormat="1" applyFont="1" applyFill="1"/>
    <xf numFmtId="0" fontId="4" fillId="2" borderId="0" xfId="0" applyFont="1" applyFill="1" applyAlignment="1">
      <alignment horizontal="center"/>
    </xf>
    <xf numFmtId="0" fontId="6" fillId="7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10" fillId="3" borderId="0" xfId="1" applyFont="1" applyFill="1" applyAlignment="1">
      <alignment horizontal="center"/>
    </xf>
    <xf numFmtId="0" fontId="8" fillId="5" borderId="0" xfId="0" applyFont="1" applyFill="1" applyAlignment="1">
      <alignment horizontal="center"/>
    </xf>
    <xf numFmtId="0" fontId="10" fillId="5" borderId="0" xfId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11" fillId="6" borderId="0" xfId="1" applyFont="1" applyFill="1" applyAlignment="1">
      <alignment horizontal="center"/>
    </xf>
    <xf numFmtId="0" fontId="13" fillId="2" borderId="0" xfId="0" applyFont="1" applyFill="1" applyAlignment="1">
      <alignment horizontal="left"/>
    </xf>
    <xf numFmtId="0" fontId="15" fillId="0" borderId="0" xfId="0" applyFont="1"/>
    <xf numFmtId="0" fontId="17" fillId="5" borderId="0" xfId="0" applyFont="1" applyFill="1"/>
    <xf numFmtId="0" fontId="18" fillId="0" borderId="0" xfId="0" applyFont="1"/>
    <xf numFmtId="0" fontId="7" fillId="8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24" fillId="4" borderId="0" xfId="0" applyFont="1" applyFill="1"/>
    <xf numFmtId="0" fontId="25" fillId="4" borderId="0" xfId="0" applyFont="1" applyFill="1" applyAlignment="1">
      <alignment horizontal="center"/>
    </xf>
    <xf numFmtId="0" fontId="17" fillId="3" borderId="0" xfId="0" applyFont="1" applyFill="1"/>
    <xf numFmtId="0" fontId="28" fillId="4" borderId="0" xfId="0" applyFont="1" applyFill="1" applyAlignment="1">
      <alignment horizontal="center"/>
    </xf>
    <xf numFmtId="0" fontId="22" fillId="0" borderId="0" xfId="0" applyFont="1"/>
    <xf numFmtId="0" fontId="30" fillId="2" borderId="0" xfId="0" applyFont="1" applyFill="1" applyAlignment="1">
      <alignment horizontal="center"/>
    </xf>
    <xf numFmtId="0" fontId="33" fillId="0" borderId="0" xfId="0" applyFont="1"/>
    <xf numFmtId="0" fontId="34" fillId="0" borderId="0" xfId="0" applyFont="1"/>
    <xf numFmtId="0" fontId="26" fillId="2" borderId="0" xfId="0" applyFont="1" applyFill="1" applyAlignment="1">
      <alignment horizontal="center"/>
    </xf>
    <xf numFmtId="0" fontId="26" fillId="5" borderId="0" xfId="0" applyFont="1" applyFill="1" applyAlignment="1">
      <alignment horizontal="center"/>
    </xf>
    <xf numFmtId="0" fontId="26" fillId="3" borderId="0" xfId="0" applyFont="1" applyFill="1" applyAlignment="1">
      <alignment horizontal="center"/>
    </xf>
    <xf numFmtId="0" fontId="26" fillId="6" borderId="0" xfId="0" applyFont="1" applyFill="1" applyAlignment="1">
      <alignment horizontal="center"/>
    </xf>
    <xf numFmtId="0" fontId="16" fillId="9" borderId="0" xfId="0" applyFont="1" applyFill="1" applyAlignment="1">
      <alignment horizontal="center"/>
    </xf>
    <xf numFmtId="0" fontId="15" fillId="9" borderId="0" xfId="0" applyFont="1" applyFill="1" applyAlignment="1">
      <alignment horizontal="left"/>
    </xf>
    <xf numFmtId="0" fontId="5" fillId="9" borderId="0" xfId="0" applyFont="1" applyFill="1"/>
    <xf numFmtId="2" fontId="35" fillId="9" borderId="0" xfId="0" applyNumberFormat="1" applyFont="1" applyFill="1" applyAlignment="1">
      <alignment horizontal="right"/>
    </xf>
    <xf numFmtId="0" fontId="15" fillId="9" borderId="0" xfId="0" applyFont="1" applyFill="1"/>
    <xf numFmtId="0" fontId="20" fillId="9" borderId="0" xfId="0" applyFont="1" applyFill="1" applyAlignment="1">
      <alignment horizontal="right"/>
    </xf>
    <xf numFmtId="164" fontId="20" fillId="9" borderId="0" xfId="0" applyNumberFormat="1" applyFont="1" applyFill="1" applyAlignment="1">
      <alignment horizontal="right"/>
    </xf>
    <xf numFmtId="1" fontId="14" fillId="9" borderId="0" xfId="0" applyNumberFormat="1" applyFont="1" applyFill="1" applyAlignment="1">
      <alignment horizontal="right"/>
    </xf>
    <xf numFmtId="0" fontId="16" fillId="10" borderId="0" xfId="0" applyFont="1" applyFill="1" applyAlignment="1">
      <alignment horizontal="center"/>
    </xf>
    <xf numFmtId="0" fontId="15" fillId="10" borderId="0" xfId="0" applyFont="1" applyFill="1"/>
    <xf numFmtId="0" fontId="5" fillId="10" borderId="0" xfId="0" applyFont="1" applyFill="1"/>
    <xf numFmtId="2" fontId="35" fillId="10" borderId="0" xfId="0" applyNumberFormat="1" applyFont="1" applyFill="1" applyAlignment="1">
      <alignment horizontal="right"/>
    </xf>
    <xf numFmtId="0" fontId="20" fillId="10" borderId="0" xfId="0" applyFont="1" applyFill="1" applyAlignment="1">
      <alignment horizontal="right"/>
    </xf>
    <xf numFmtId="164" fontId="20" fillId="10" borderId="0" xfId="0" applyNumberFormat="1" applyFont="1" applyFill="1" applyAlignment="1">
      <alignment horizontal="right"/>
    </xf>
    <xf numFmtId="1" fontId="14" fillId="10" borderId="0" xfId="0" applyNumberFormat="1" applyFont="1" applyFill="1" applyAlignment="1">
      <alignment horizontal="right"/>
    </xf>
    <xf numFmtId="0" fontId="16" fillId="11" borderId="0" xfId="0" applyFont="1" applyFill="1" applyAlignment="1">
      <alignment horizontal="center"/>
    </xf>
    <xf numFmtId="0" fontId="15" fillId="11" borderId="0" xfId="0" applyFont="1" applyFill="1"/>
    <xf numFmtId="0" fontId="5" fillId="11" borderId="0" xfId="0" applyFont="1" applyFill="1"/>
    <xf numFmtId="2" fontId="35" fillId="11" borderId="0" xfId="0" applyNumberFormat="1" applyFont="1" applyFill="1" applyAlignment="1">
      <alignment horizontal="right"/>
    </xf>
    <xf numFmtId="0" fontId="20" fillId="11" borderId="0" xfId="0" applyFont="1" applyFill="1" applyAlignment="1">
      <alignment horizontal="right"/>
    </xf>
    <xf numFmtId="164" fontId="20" fillId="11" borderId="0" xfId="0" applyNumberFormat="1" applyFont="1" applyFill="1" applyAlignment="1">
      <alignment horizontal="right"/>
    </xf>
    <xf numFmtId="1" fontId="14" fillId="11" borderId="0" xfId="0" applyNumberFormat="1" applyFont="1" applyFill="1" applyAlignment="1">
      <alignment horizontal="right"/>
    </xf>
    <xf numFmtId="0" fontId="22" fillId="0" borderId="0" xfId="0" applyFont="1" applyAlignment="1">
      <alignment wrapText="1"/>
    </xf>
    <xf numFmtId="0" fontId="22" fillId="0" borderId="0" xfId="0" applyFont="1" applyAlignment="1">
      <alignment vertical="center" wrapText="1"/>
    </xf>
    <xf numFmtId="0" fontId="13" fillId="2" borderId="0" xfId="0" applyFont="1" applyFill="1"/>
    <xf numFmtId="0" fontId="5" fillId="0" borderId="0" xfId="0" applyFont="1"/>
    <xf numFmtId="0" fontId="36" fillId="7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5"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9C0006"/>
      </font>
      <fill>
        <patternFill patternType="solid">
          <fgColor indexed="64"/>
          <bgColor rgb="FFFFC7CE"/>
        </patternFill>
      </fill>
    </dxf>
    <dxf>
      <font>
        <b/>
        <i val="0"/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B365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 Decision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B365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CALCULATOR!$H$5:$H$8</c:f>
              <c:strCache>
                <c:ptCount val="4"/>
                <c:pt idx="0">
                  <c:v>Chart score</c:v>
                </c:pt>
                <c:pt idx="1">
                  <c:v>8.35</c:v>
                </c:pt>
                <c:pt idx="2">
                  <c:v>7.85</c:v>
                </c:pt>
                <c:pt idx="3">
                  <c:v>8.15</c:v>
                </c:pt>
              </c:strCache>
            </c:strRef>
          </c:tx>
          <c:spPr>
            <a:solidFill>
              <a:srgbClr val="1F7A8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1B365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CALCULATOR!$G$9</c:f>
            </c:multiLvlStrRef>
          </c:cat>
          <c:val>
            <c:numRef>
              <c:f>CALCULATOR!$H$9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9-4975-B6DA-17B021769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7066608"/>
        <c:axId val="1999458320"/>
      </c:barChart>
      <c:catAx>
        <c:axId val="1607066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1B365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58320"/>
        <c:crosses val="autoZero"/>
        <c:auto val="1"/>
        <c:lblAlgn val="ctr"/>
        <c:lblOffset val="100"/>
        <c:noMultiLvlLbl val="0"/>
      </c:catAx>
      <c:valAx>
        <c:axId val="1999458320"/>
        <c:scaling>
          <c:orientation val="minMax"/>
          <c:max val="10"/>
          <c:min val="0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B677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70666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B365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Criteria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B365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CALCULATOR!$O$14</c:f>
              <c:strCache>
                <c:ptCount val="1"/>
                <c:pt idx="0">
                  <c:v>lenovo</c:v>
                </c:pt>
              </c:strCache>
            </c:strRef>
          </c:tx>
          <c:spPr>
            <a:ln w="28575" cap="rnd">
              <a:solidFill>
                <a:srgbClr val="1B365D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CALCULATOR!$N$15:$N$20</c:f>
              <c:strCache>
                <c:ptCount val="6"/>
                <c:pt idx="0">
                  <c:v>Price</c:v>
                </c:pt>
                <c:pt idx="1">
                  <c:v>Performance</c:v>
                </c:pt>
                <c:pt idx="2">
                  <c:v>Battery</c:v>
                </c:pt>
                <c:pt idx="3">
                  <c:v>Display</c:v>
                </c:pt>
                <c:pt idx="4">
                  <c:v>Upgradeability</c:v>
                </c:pt>
                <c:pt idx="5">
                  <c:v>Warranty</c:v>
                </c:pt>
              </c:strCache>
            </c:strRef>
          </c:cat>
          <c:val>
            <c:numRef>
              <c:f>CALCULATOR!$O$15:$O$20</c:f>
              <c:numCache>
                <c:formatCode>0</c:formatCode>
                <c:ptCount val="6"/>
                <c:pt idx="0">
                  <c:v>8</c:v>
                </c:pt>
                <c:pt idx="1">
                  <c:v>9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DC-4954-A64C-561DD5034B3C}"/>
            </c:ext>
          </c:extLst>
        </c:ser>
        <c:ser>
          <c:idx val="1"/>
          <c:order val="1"/>
          <c:tx>
            <c:strRef>
              <c:f>CALCULATOR!$P$14</c:f>
              <c:strCache>
                <c:ptCount val="1"/>
                <c:pt idx="0">
                  <c:v>HP</c:v>
                </c:pt>
              </c:strCache>
            </c:strRef>
          </c:tx>
          <c:spPr>
            <a:ln w="28575" cap="rnd">
              <a:solidFill>
                <a:srgbClr val="1F7A8C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CALCULATOR!$N$15:$N$20</c:f>
              <c:strCache>
                <c:ptCount val="6"/>
                <c:pt idx="0">
                  <c:v>Price</c:v>
                </c:pt>
                <c:pt idx="1">
                  <c:v>Performance</c:v>
                </c:pt>
                <c:pt idx="2">
                  <c:v>Battery</c:v>
                </c:pt>
                <c:pt idx="3">
                  <c:v>Display</c:v>
                </c:pt>
                <c:pt idx="4">
                  <c:v>Upgradeability</c:v>
                </c:pt>
                <c:pt idx="5">
                  <c:v>Warranty</c:v>
                </c:pt>
              </c:strCache>
            </c:strRef>
          </c:cat>
          <c:val>
            <c:numRef>
              <c:f>CALCULATOR!$P$15:$P$20</c:f>
              <c:numCache>
                <c:formatCode>0</c:formatCode>
                <c:ptCount val="6"/>
                <c:pt idx="0">
                  <c:v>9</c:v>
                </c:pt>
                <c:pt idx="1">
                  <c:v>7</c:v>
                </c:pt>
                <c:pt idx="2">
                  <c:v>9</c:v>
                </c:pt>
                <c:pt idx="3">
                  <c:v>8</c:v>
                </c:pt>
                <c:pt idx="4">
                  <c:v>6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DC-4954-A64C-561DD5034B3C}"/>
            </c:ext>
          </c:extLst>
        </c:ser>
        <c:ser>
          <c:idx val="2"/>
          <c:order val="2"/>
          <c:tx>
            <c:strRef>
              <c:f>CALCULATOR!$Q$14</c:f>
              <c:strCache>
                <c:ptCount val="1"/>
                <c:pt idx="0">
                  <c:v>ASUS</c:v>
                </c:pt>
              </c:strCache>
            </c:strRef>
          </c:tx>
          <c:spPr>
            <a:ln w="28575" cap="rnd">
              <a:solidFill>
                <a:srgbClr val="C4A35A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CALCULATOR!$N$15:$N$20</c:f>
              <c:strCache>
                <c:ptCount val="6"/>
                <c:pt idx="0">
                  <c:v>Price</c:v>
                </c:pt>
                <c:pt idx="1">
                  <c:v>Performance</c:v>
                </c:pt>
                <c:pt idx="2">
                  <c:v>Battery</c:v>
                </c:pt>
                <c:pt idx="3">
                  <c:v>Display</c:v>
                </c:pt>
                <c:pt idx="4">
                  <c:v>Upgradeability</c:v>
                </c:pt>
                <c:pt idx="5">
                  <c:v>Warranty</c:v>
                </c:pt>
              </c:strCache>
            </c:strRef>
          </c:cat>
          <c:val>
            <c:numRef>
              <c:f>CALCULATOR!$Q$15:$Q$20</c:f>
              <c:numCache>
                <c:formatCode>0</c:formatCode>
                <c:ptCount val="6"/>
                <c:pt idx="0">
                  <c:v>7</c:v>
                </c:pt>
                <c:pt idx="1">
                  <c:v>10</c:v>
                </c:pt>
                <c:pt idx="2">
                  <c:v>6</c:v>
                </c:pt>
                <c:pt idx="3">
                  <c:v>9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DC-4954-A64C-561DD5034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0078544"/>
        <c:axId val="1999453040"/>
      </c:radarChart>
      <c:catAx>
        <c:axId val="201007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9453040"/>
        <c:crosses val="autoZero"/>
        <c:auto val="1"/>
        <c:lblAlgn val="ctr"/>
        <c:lblOffset val="100"/>
        <c:noMultiLvlLbl val="0"/>
      </c:catAx>
      <c:valAx>
        <c:axId val="1999453040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007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</xdr:row>
      <xdr:rowOff>0</xdr:rowOff>
    </xdr:from>
    <xdr:to>
      <xdr:col>21</xdr:col>
      <xdr:colOff>457200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4EF27E-CD60-D80A-3FCA-618E9FCD9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18</xdr:row>
      <xdr:rowOff>190499</xdr:rowOff>
    </xdr:from>
    <xdr:to>
      <xdr:col>21</xdr:col>
      <xdr:colOff>457200</xdr:colOff>
      <xdr:row>36</xdr:row>
      <xdr:rowOff>53974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465BF-36C3-3384-97B0-7BB5618F1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7469B5-64A0-499C-89D9-05CB5506FDDE}">
  <we:reference id="wa200011214" version="1.0.0.1" store="en-US" storeType="OMEX"/>
  <we:alternateReferences>
    <we:reference id="wa200011214" version="1.0.0.1" store="WA200011214" storeType="OMEX"/>
  </we:alternateReferences>
  <we:properties>
    <we:property name="grokConversationBinding" value="{&quot;responseId&quot;:&quot;77973428-41ce-4cff-b41b-be122b8df2f4&quot;,&quot;title&quot;:&quot;Create Decision Engine Excel Simulator with Sheets and Calculations&quot;,&quot;transport&quot;:&quot;gateway&quot;}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E864-5C68-4950-8400-3C3782B7C7B8}">
  <sheetPr>
    <tabColor rgb="FF1B365D"/>
  </sheetPr>
  <dimension ref="A1:L60"/>
  <sheetViews>
    <sheetView showGridLines="0" tabSelected="1" topLeftCell="A2" workbookViewId="0">
      <selection sqref="A1:L2"/>
    </sheetView>
  </sheetViews>
  <sheetFormatPr defaultRowHeight="15" x14ac:dyDescent="0.25"/>
  <cols>
    <col min="1" max="1" width="61" customWidth="1"/>
    <col min="2" max="2" width="32.42578125" customWidth="1"/>
    <col min="3" max="3" width="45.7109375" customWidth="1"/>
    <col min="4" max="4" width="34.28515625" customWidth="1"/>
    <col min="5" max="5" width="13.28515625" customWidth="1"/>
    <col min="6" max="6" width="34.28515625" customWidth="1"/>
    <col min="7" max="9" width="17.140625" customWidth="1"/>
    <col min="10" max="10" width="13.7109375" customWidth="1"/>
    <col min="11" max="11" width="34.28515625" customWidth="1"/>
    <col min="12" max="12" width="21" customWidth="1"/>
  </cols>
  <sheetData>
    <row r="1" spans="1:12" ht="32.1" customHeight="1" x14ac:dyDescent="0.2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</row>
    <row r="2" spans="1:12" ht="32.1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</row>
    <row r="3" spans="1:12" ht="26.1" customHeight="1" x14ac:dyDescent="0.35">
      <c r="A3" s="90" t="s">
        <v>78</v>
      </c>
      <c r="B3" s="36"/>
      <c r="C3" s="36"/>
      <c r="D3" s="36"/>
      <c r="E3" s="36"/>
      <c r="F3" s="36"/>
      <c r="G3" s="36"/>
      <c r="H3" s="36"/>
      <c r="I3" s="36"/>
      <c r="J3" s="36"/>
      <c r="K3" s="36"/>
      <c r="L3" s="36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36" customHeight="1" x14ac:dyDescent="0.25">
      <c r="A5" s="47" t="s">
        <v>115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</row>
    <row r="6" spans="1:12" x14ac:dyDescent="0.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</row>
    <row r="7" spans="1:12" x14ac:dyDescent="0.25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23.25" x14ac:dyDescent="0.35">
      <c r="A10" s="37" t="s">
        <v>79</v>
      </c>
      <c r="B10" s="37"/>
      <c r="C10" s="37"/>
      <c r="D10" s="37"/>
      <c r="E10" s="4"/>
      <c r="F10" s="39" t="s">
        <v>80</v>
      </c>
      <c r="G10" s="39"/>
      <c r="H10" s="39"/>
      <c r="I10" s="39"/>
      <c r="J10" s="4"/>
      <c r="K10" s="41" t="s">
        <v>81</v>
      </c>
      <c r="L10" s="41"/>
    </row>
    <row r="11" spans="1:12" ht="15.75" x14ac:dyDescent="0.25">
      <c r="A11" s="38" t="str">
        <f>HYPERLINK("#INPUT!A1","Open input screen")</f>
        <v>Open input screen</v>
      </c>
      <c r="B11" s="38"/>
      <c r="C11" s="38"/>
      <c r="D11" s="38"/>
      <c r="E11" s="4"/>
      <c r="F11" s="40" t="str">
        <f>HYPERLINK("#RESULT!A1","Open analysis")</f>
        <v>Open analysis</v>
      </c>
      <c r="G11" s="40"/>
      <c r="H11" s="40"/>
      <c r="I11" s="40"/>
      <c r="J11" s="4"/>
      <c r="K11" s="42" t="str">
        <f>HYPERLINK("#SETTINGS!A1","Open settings")</f>
        <v>Open settings</v>
      </c>
      <c r="L11" s="42"/>
    </row>
    <row r="12" spans="1:12" ht="141" customHeight="1" x14ac:dyDescent="0.25">
      <c r="A12" s="48" t="s">
        <v>108</v>
      </c>
      <c r="B12" s="48"/>
      <c r="C12" s="48"/>
      <c r="D12" s="48"/>
      <c r="E12" s="4"/>
      <c r="F12" s="49" t="s">
        <v>109</v>
      </c>
      <c r="G12" s="49"/>
      <c r="H12" s="49"/>
      <c r="I12" s="49"/>
      <c r="J12" s="4"/>
      <c r="K12" s="50" t="s">
        <v>110</v>
      </c>
      <c r="L12" s="50"/>
    </row>
    <row r="13" spans="1:12" x14ac:dyDescent="0.25">
      <c r="A13" s="48"/>
      <c r="B13" s="48"/>
      <c r="C13" s="48"/>
      <c r="D13" s="48"/>
      <c r="E13" s="4"/>
      <c r="F13" s="49"/>
      <c r="G13" s="49"/>
      <c r="H13" s="49"/>
      <c r="I13" s="49"/>
      <c r="J13" s="4"/>
      <c r="K13" s="50"/>
      <c r="L13" s="50"/>
    </row>
    <row r="14" spans="1:12" x14ac:dyDescent="0.25">
      <c r="A14" s="48"/>
      <c r="B14" s="48"/>
      <c r="C14" s="48"/>
      <c r="D14" s="48"/>
      <c r="E14" s="4"/>
      <c r="F14" s="49"/>
      <c r="G14" s="49"/>
      <c r="H14" s="49"/>
      <c r="I14" s="49"/>
      <c r="J14" s="4"/>
      <c r="K14" s="50"/>
      <c r="L14" s="50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8.75" x14ac:dyDescent="0.3">
      <c r="A17" s="43" t="s">
        <v>82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ht="18.75" x14ac:dyDescent="0.3">
      <c r="A18" s="5">
        <v>1</v>
      </c>
      <c r="B18" s="6" t="s">
        <v>83</v>
      </c>
      <c r="C18" s="44" t="s">
        <v>93</v>
      </c>
      <c r="D18" s="44"/>
      <c r="E18" s="44"/>
      <c r="F18" s="44"/>
      <c r="G18" s="44"/>
      <c r="H18" s="44"/>
      <c r="I18" s="44"/>
      <c r="J18" s="44"/>
      <c r="K18" s="44"/>
      <c r="L18" s="44"/>
    </row>
    <row r="19" spans="1:12" ht="18.75" x14ac:dyDescent="0.3">
      <c r="A19" s="5">
        <v>2</v>
      </c>
      <c r="B19" s="6" t="s">
        <v>84</v>
      </c>
      <c r="C19" s="44" t="s">
        <v>94</v>
      </c>
      <c r="D19" s="44"/>
      <c r="E19" s="44"/>
      <c r="F19" s="44"/>
      <c r="G19" s="44"/>
      <c r="H19" s="44"/>
      <c r="I19" s="44"/>
      <c r="J19" s="44"/>
      <c r="K19" s="44"/>
      <c r="L19" s="44"/>
    </row>
    <row r="20" spans="1:12" ht="18.75" x14ac:dyDescent="0.3">
      <c r="A20" s="5">
        <v>3</v>
      </c>
      <c r="B20" s="6" t="s">
        <v>85</v>
      </c>
      <c r="C20" s="44" t="s">
        <v>95</v>
      </c>
      <c r="D20" s="44"/>
      <c r="E20" s="44"/>
      <c r="F20" s="44"/>
      <c r="G20" s="44"/>
      <c r="H20" s="44"/>
      <c r="I20" s="44"/>
      <c r="J20" s="44"/>
      <c r="K20" s="44"/>
      <c r="L20" s="44"/>
    </row>
    <row r="21" spans="1:12" ht="18.75" x14ac:dyDescent="0.3">
      <c r="A21" s="7">
        <v>4</v>
      </c>
      <c r="B21" s="6" t="s">
        <v>86</v>
      </c>
      <c r="C21" s="44" t="s">
        <v>96</v>
      </c>
      <c r="D21" s="44"/>
      <c r="E21" s="44"/>
      <c r="F21" s="44"/>
      <c r="G21" s="44"/>
      <c r="H21" s="44"/>
      <c r="I21" s="44"/>
      <c r="J21" s="44"/>
      <c r="K21" s="44"/>
      <c r="L21" s="44"/>
    </row>
    <row r="22" spans="1:12" ht="18.75" x14ac:dyDescent="0.3">
      <c r="A22" s="7">
        <v>5</v>
      </c>
      <c r="B22" s="6" t="s">
        <v>87</v>
      </c>
      <c r="C22" s="44" t="s">
        <v>97</v>
      </c>
      <c r="D22" s="44"/>
      <c r="E22" s="44"/>
      <c r="F22" s="44"/>
      <c r="G22" s="44"/>
      <c r="H22" s="44"/>
      <c r="I22" s="44"/>
      <c r="J22" s="44"/>
      <c r="K22" s="44"/>
      <c r="L22" s="44"/>
    </row>
    <row r="23" spans="1:12" ht="18.75" x14ac:dyDescent="0.3">
      <c r="A23" s="7">
        <v>6</v>
      </c>
      <c r="B23" s="6" t="s">
        <v>88</v>
      </c>
      <c r="C23" s="44" t="s">
        <v>98</v>
      </c>
      <c r="D23" s="44"/>
      <c r="E23" s="44"/>
      <c r="F23" s="44"/>
      <c r="G23" s="44"/>
      <c r="H23" s="44"/>
      <c r="I23" s="44"/>
      <c r="J23" s="44"/>
      <c r="K23" s="44"/>
      <c r="L23" s="44"/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.75" x14ac:dyDescent="0.25">
      <c r="A25" s="45" t="s">
        <v>89</v>
      </c>
      <c r="B25" s="45"/>
      <c r="C25" s="45"/>
      <c r="D25" s="45"/>
      <c r="E25" s="4"/>
      <c r="F25" s="4"/>
      <c r="G25" s="4"/>
      <c r="H25" s="4"/>
      <c r="I25" s="4"/>
      <c r="J25" s="4"/>
      <c r="K25" s="4"/>
      <c r="L25" s="4"/>
    </row>
    <row r="26" spans="1:12" ht="15.75" x14ac:dyDescent="0.25">
      <c r="A26" s="6" t="s">
        <v>90</v>
      </c>
      <c r="B26" s="46" t="str">
        <f>IF(INPUT!B4="","",INPUT!B4)</f>
        <v>Which laptop should I buy?</v>
      </c>
      <c r="C26" s="46"/>
      <c r="D26" s="46"/>
      <c r="E26" s="4"/>
      <c r="F26" s="4"/>
      <c r="G26" s="4"/>
      <c r="H26" s="4"/>
      <c r="I26" s="4"/>
      <c r="J26" s="4"/>
      <c r="K26" s="4"/>
      <c r="L26" s="4"/>
    </row>
    <row r="27" spans="1:12" ht="15.75" x14ac:dyDescent="0.25">
      <c r="A27" s="6" t="s">
        <v>91</v>
      </c>
      <c r="B27" s="8" t="str">
        <f>IF(CALCULATOR!B11="","",CALCULATOR!B11)</f>
        <v>lenovo</v>
      </c>
      <c r="C27" s="4"/>
      <c r="D27" s="6" t="str">
        <f>IF(CALCULATOR!B6="","",TEXT(MAX(CALCULATOR!B6:B9),"0.00")&amp;" / 10")</f>
        <v>8.35 / 10</v>
      </c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6" t="s">
        <v>92</v>
      </c>
      <c r="B28" s="9" t="str">
        <f>INPUT!C23</f>
        <v>✓ Weights are valid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3" t="str">
        <f>HYPERLINK("#CALCULATOR!A1","Open calculator")</f>
        <v>Open calculator</v>
      </c>
      <c r="B30" s="4"/>
      <c r="C30" s="4"/>
      <c r="D30" s="11" t="s">
        <v>99</v>
      </c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</sheetData>
  <mergeCells count="21">
    <mergeCell ref="C21:L21"/>
    <mergeCell ref="C22:L22"/>
    <mergeCell ref="C23:L23"/>
    <mergeCell ref="A25:D25"/>
    <mergeCell ref="B26:D26"/>
    <mergeCell ref="K11:L11"/>
    <mergeCell ref="K12:L14"/>
    <mergeCell ref="A17:L17"/>
    <mergeCell ref="C18:L18"/>
    <mergeCell ref="C19:L19"/>
    <mergeCell ref="C20:L20"/>
    <mergeCell ref="A1:L2"/>
    <mergeCell ref="A3:L3"/>
    <mergeCell ref="A5:L7"/>
    <mergeCell ref="A10:D10"/>
    <mergeCell ref="A11:D11"/>
    <mergeCell ref="A12:D14"/>
    <mergeCell ref="F10:I10"/>
    <mergeCell ref="F11:I11"/>
    <mergeCell ref="F12:I14"/>
    <mergeCell ref="K10:L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A79ED-ACF0-4723-84C8-9779A3736191}">
  <sheetPr>
    <tabColor rgb="FF2F5496"/>
  </sheetPr>
  <dimension ref="A1:L60"/>
  <sheetViews>
    <sheetView showGridLines="0" workbookViewId="0">
      <selection activeCell="D11" sqref="D11"/>
    </sheetView>
  </sheetViews>
  <sheetFormatPr defaultRowHeight="15" x14ac:dyDescent="0.25"/>
  <cols>
    <col min="1" max="1" width="43.85546875" customWidth="1"/>
    <col min="2" max="2" width="33.28515625" customWidth="1"/>
    <col min="3" max="5" width="24.7109375" customWidth="1"/>
    <col min="6" max="6" width="12.140625" customWidth="1"/>
    <col min="7" max="7" width="43.85546875" customWidth="1"/>
    <col min="8" max="12" width="12.140625" customWidth="1"/>
  </cols>
  <sheetData>
    <row r="1" spans="1:12" ht="27.95" customHeight="1" x14ac:dyDescent="0.25">
      <c r="A1" s="51" t="s">
        <v>39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7.9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8.75" x14ac:dyDescent="0.3">
      <c r="A4" s="6" t="s">
        <v>40</v>
      </c>
      <c r="B4" s="52" t="s">
        <v>41</v>
      </c>
      <c r="C4" s="52"/>
      <c r="D4" s="52"/>
      <c r="E4" s="52"/>
      <c r="F4" s="52"/>
      <c r="G4" s="52"/>
      <c r="H4" s="52"/>
      <c r="I4" s="4"/>
      <c r="J4" s="4"/>
      <c r="K4" s="4"/>
      <c r="L4" s="4"/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x14ac:dyDescent="0.25">
      <c r="A6" s="6" t="s">
        <v>42</v>
      </c>
      <c r="B6" s="53" t="s">
        <v>1</v>
      </c>
      <c r="C6" s="53"/>
      <c r="D6" s="5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5.75" x14ac:dyDescent="0.25">
      <c r="A9" s="54" t="s">
        <v>43</v>
      </c>
      <c r="B9" s="54"/>
      <c r="C9" s="54"/>
      <c r="D9" s="54"/>
      <c r="E9" s="54"/>
      <c r="F9" s="4"/>
      <c r="G9" s="4"/>
      <c r="H9" s="4"/>
      <c r="I9" s="4"/>
      <c r="J9" s="4"/>
      <c r="K9" s="4"/>
      <c r="L9" s="4"/>
    </row>
    <row r="10" spans="1:12" x14ac:dyDescent="0.25">
      <c r="A10" s="13" t="s">
        <v>44</v>
      </c>
      <c r="B10" s="14" t="s">
        <v>116</v>
      </c>
      <c r="C10" s="14" t="s">
        <v>117</v>
      </c>
      <c r="D10" s="14" t="s">
        <v>118</v>
      </c>
      <c r="E10" s="14"/>
      <c r="F10" s="4"/>
      <c r="G10" s="55" t="s">
        <v>100</v>
      </c>
      <c r="H10" s="55"/>
      <c r="I10" s="55"/>
      <c r="J10" s="55"/>
      <c r="K10" s="55"/>
      <c r="L10" s="55"/>
    </row>
    <row r="11" spans="1:12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5.75" x14ac:dyDescent="0.25">
      <c r="A13" s="54" t="s">
        <v>45</v>
      </c>
      <c r="B13" s="5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13" t="s">
        <v>27</v>
      </c>
      <c r="B14" s="13" t="s">
        <v>46</v>
      </c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15" t="s">
        <v>12</v>
      </c>
      <c r="B15" s="16">
        <v>0.25</v>
      </c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15" t="s">
        <v>13</v>
      </c>
      <c r="B16" s="16">
        <v>0.3</v>
      </c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15" t="s">
        <v>14</v>
      </c>
      <c r="B17" s="16">
        <v>0.1</v>
      </c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15" t="s">
        <v>15</v>
      </c>
      <c r="B18" s="16">
        <v>0.1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15" t="s">
        <v>16</v>
      </c>
      <c r="B19" s="16">
        <v>0.15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15" t="s">
        <v>17</v>
      </c>
      <c r="B20" s="16">
        <v>0.1</v>
      </c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15"/>
      <c r="B21" s="16">
        <v>0</v>
      </c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15"/>
      <c r="B22" s="16">
        <v>0</v>
      </c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17" t="s">
        <v>47</v>
      </c>
      <c r="B23" s="18">
        <f>SUM(B15:B22)</f>
        <v>1</v>
      </c>
      <c r="C23" s="19" t="str">
        <f>IF(ABS(B23-1)&lt;0.0001,"✓ Weights are valid","⚠ Weights must total 100%")</f>
        <v>✓ Weights are valid</v>
      </c>
      <c r="D23" s="56" t="s">
        <v>101</v>
      </c>
      <c r="E23" s="56"/>
      <c r="F23" s="56"/>
      <c r="G23" s="56"/>
      <c r="H23" s="56"/>
      <c r="I23" s="56"/>
      <c r="J23" s="56"/>
      <c r="K23" s="56"/>
      <c r="L23" s="56"/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.75" x14ac:dyDescent="0.25">
      <c r="A26" s="54" t="s">
        <v>48</v>
      </c>
      <c r="B26" s="54"/>
      <c r="C26" s="54"/>
      <c r="D26" s="54"/>
      <c r="E26" s="54"/>
      <c r="F26" s="4"/>
      <c r="G26" s="4"/>
      <c r="H26" s="4"/>
      <c r="I26" s="4"/>
      <c r="J26" s="4"/>
      <c r="K26" s="4"/>
      <c r="L26" s="4"/>
    </row>
    <row r="27" spans="1:12" x14ac:dyDescent="0.25">
      <c r="A27" s="13" t="s">
        <v>27</v>
      </c>
      <c r="B27" s="13" t="str">
        <f>IF(B10="","Option 1",B10)</f>
        <v>lenovo</v>
      </c>
      <c r="C27" s="13" t="str">
        <f>IF(C10="","Option 2",C10)</f>
        <v>HP</v>
      </c>
      <c r="D27" s="13" t="str">
        <f>IF(D10="","Option 3",D10)</f>
        <v>ASUS</v>
      </c>
      <c r="E27" s="13" t="str">
        <f>IF(E10="","Option 4",E10)</f>
        <v>Option 4</v>
      </c>
      <c r="F27" s="4"/>
      <c r="G27" s="56" t="s">
        <v>102</v>
      </c>
      <c r="H27" s="56"/>
      <c r="I27" s="56"/>
      <c r="J27" s="56"/>
      <c r="K27" s="56"/>
      <c r="L27" s="56"/>
    </row>
    <row r="28" spans="1:12" x14ac:dyDescent="0.25">
      <c r="A28" s="4" t="str">
        <f>IF(A15="","",A15)</f>
        <v>Price</v>
      </c>
      <c r="B28" s="20">
        <v>8</v>
      </c>
      <c r="C28" s="20">
        <v>9</v>
      </c>
      <c r="D28" s="20">
        <v>7</v>
      </c>
      <c r="E28" s="12"/>
      <c r="F28" s="4"/>
      <c r="G28" s="4"/>
      <c r="H28" s="4"/>
      <c r="I28" s="4"/>
      <c r="J28" s="4"/>
      <c r="K28" s="4"/>
      <c r="L28" s="4"/>
    </row>
    <row r="29" spans="1:12" x14ac:dyDescent="0.25">
      <c r="A29" s="4" t="str">
        <f>IF(A16="","",A16)</f>
        <v>Performance</v>
      </c>
      <c r="B29" s="20">
        <v>9</v>
      </c>
      <c r="C29" s="20">
        <v>7</v>
      </c>
      <c r="D29" s="20">
        <v>10</v>
      </c>
      <c r="E29" s="12"/>
      <c r="F29" s="4"/>
      <c r="G29" s="4"/>
      <c r="H29" s="4"/>
      <c r="I29" s="4"/>
      <c r="J29" s="4"/>
      <c r="K29" s="4"/>
      <c r="L29" s="4"/>
    </row>
    <row r="30" spans="1:12" x14ac:dyDescent="0.25">
      <c r="A30" s="4" t="str">
        <f>IF(A17="","",A17)</f>
        <v>Battery</v>
      </c>
      <c r="B30" s="20">
        <v>7</v>
      </c>
      <c r="C30" s="20">
        <v>9</v>
      </c>
      <c r="D30" s="20">
        <v>6</v>
      </c>
      <c r="E30" s="12"/>
      <c r="F30" s="4"/>
      <c r="G30" s="4"/>
      <c r="H30" s="4"/>
      <c r="I30" s="4"/>
      <c r="J30" s="4"/>
      <c r="K30" s="4"/>
      <c r="L30" s="4"/>
    </row>
    <row r="31" spans="1:12" x14ac:dyDescent="0.25">
      <c r="A31" s="4" t="str">
        <f>IF(A18="","",A18)</f>
        <v>Display</v>
      </c>
      <c r="B31" s="20">
        <v>8</v>
      </c>
      <c r="C31" s="20">
        <v>8</v>
      </c>
      <c r="D31" s="20">
        <v>9</v>
      </c>
      <c r="E31" s="12"/>
      <c r="F31" s="4"/>
      <c r="G31" s="4"/>
      <c r="H31" s="4"/>
      <c r="I31" s="4"/>
      <c r="J31" s="4"/>
      <c r="K31" s="4"/>
      <c r="L31" s="4"/>
    </row>
    <row r="32" spans="1:12" x14ac:dyDescent="0.25">
      <c r="A32" s="4" t="str">
        <f>IF(A19="","",A19)</f>
        <v>Upgradeability</v>
      </c>
      <c r="B32" s="20">
        <v>9</v>
      </c>
      <c r="C32" s="20">
        <v>6</v>
      </c>
      <c r="D32" s="20">
        <v>8</v>
      </c>
      <c r="E32" s="12"/>
      <c r="F32" s="4"/>
      <c r="G32" s="4"/>
      <c r="H32" s="4"/>
      <c r="I32" s="4"/>
      <c r="J32" s="4"/>
      <c r="K32" s="4"/>
      <c r="L32" s="4"/>
    </row>
    <row r="33" spans="1:12" x14ac:dyDescent="0.25">
      <c r="A33" s="4" t="str">
        <f>IF(A20="","",A20)</f>
        <v>Warranty</v>
      </c>
      <c r="B33" s="20">
        <v>8</v>
      </c>
      <c r="C33" s="20">
        <v>9</v>
      </c>
      <c r="D33" s="20">
        <v>7</v>
      </c>
      <c r="E33" s="12"/>
      <c r="F33" s="4"/>
      <c r="G33" s="4"/>
      <c r="H33" s="4"/>
      <c r="I33" s="4"/>
      <c r="J33" s="4"/>
      <c r="K33" s="4"/>
      <c r="L33" s="4"/>
    </row>
    <row r="34" spans="1:12" x14ac:dyDescent="0.25">
      <c r="A34" s="4" t="str">
        <f>IF(A21="","",A21)</f>
        <v/>
      </c>
      <c r="B34" s="12"/>
      <c r="C34" s="12"/>
      <c r="D34" s="12"/>
      <c r="E34" s="12"/>
      <c r="F34" s="4"/>
      <c r="G34" s="4"/>
      <c r="H34" s="4"/>
      <c r="I34" s="4"/>
      <c r="J34" s="4"/>
      <c r="K34" s="4"/>
      <c r="L34" s="4"/>
    </row>
    <row r="35" spans="1:12" x14ac:dyDescent="0.25">
      <c r="A35" s="4" t="str">
        <f>IF(A22="","",A22)</f>
        <v/>
      </c>
      <c r="B35" s="12"/>
      <c r="C35" s="12"/>
      <c r="D35" s="12"/>
      <c r="E35" s="12"/>
      <c r="F35" s="4"/>
      <c r="G35" s="4"/>
      <c r="H35" s="4"/>
      <c r="I35" s="4"/>
      <c r="J35" s="4"/>
      <c r="K35" s="4"/>
      <c r="L35" s="4"/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56" t="s">
        <v>111</v>
      </c>
      <c r="B37" s="56"/>
      <c r="C37" s="56"/>
      <c r="D37" s="56"/>
      <c r="E37" s="56"/>
      <c r="F37" s="4"/>
      <c r="G37" s="4"/>
      <c r="H37" s="4"/>
      <c r="I37" s="4"/>
      <c r="J37" s="4"/>
      <c r="K37" s="4"/>
      <c r="L37" s="4"/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</sheetData>
  <mergeCells count="10">
    <mergeCell ref="G27:L27"/>
    <mergeCell ref="A37:E37"/>
    <mergeCell ref="A1:L2"/>
    <mergeCell ref="B4:H4"/>
    <mergeCell ref="B6:D6"/>
    <mergeCell ref="A9:E9"/>
    <mergeCell ref="A13:B13"/>
    <mergeCell ref="A26:E26"/>
    <mergeCell ref="G10:L10"/>
    <mergeCell ref="D23:L23"/>
  </mergeCells>
  <conditionalFormatting sqref="C23">
    <cfRule type="expression" dxfId="4" priority="1">
      <formula>B23=1</formula>
    </cfRule>
  </conditionalFormatting>
  <conditionalFormatting sqref="C23">
    <cfRule type="expression" dxfId="3" priority="2">
      <formula>B23&lt;&gt;1</formula>
    </cfRule>
  </conditionalFormatting>
  <conditionalFormatting sqref="B28:E35">
    <cfRule type="colorScale" priority="3">
      <colorScale>
        <cfvo type="min"/>
        <cfvo type="max"/>
        <color rgb="FFFF7128"/>
        <color rgb="FFFFEF9C"/>
      </colorScale>
    </cfRule>
  </conditionalFormatting>
  <conditionalFormatting sqref="C23">
    <cfRule type="expression" dxfId="2" priority="4">
      <formula>B23=1</formula>
    </cfRule>
  </conditionalFormatting>
  <conditionalFormatting sqref="C23">
    <cfRule type="expression" dxfId="1" priority="5">
      <formula>B23&lt;&gt;1</formula>
    </cfRule>
  </conditionalFormatting>
  <conditionalFormatting sqref="B28:E35">
    <cfRule type="colorScale" priority="6">
      <colorScale>
        <cfvo type="min"/>
        <cfvo type="percentile" val="50"/>
        <cfvo type="max"/>
        <color rgb="FFF4C7C3"/>
        <color rgb="FFFFF2CC"/>
        <color rgb="FFB7E1CD"/>
      </colorScale>
    </cfRule>
  </conditionalFormatting>
  <dataValidations count="2">
    <dataValidation type="decimal" allowBlank="1" showInputMessage="1" showErrorMessage="1" errorTitle="Invalid weight" error="Weights must be between 0% and 100%." promptTitle="Weight" prompt="Enter a weight between 0% and 100%." sqref="B15:B22" xr:uid="{470F4F87-0CE7-4FE8-BB16-46A7997E09B5}">
      <formula1>0</formula1>
      <formula2>1</formula2>
    </dataValidation>
    <dataValidation type="whole" allowBlank="1" showInputMessage="1" showErrorMessage="1" errorTitle="Invalid score" error="Enter a whole number from 1 to 10." promptTitle="Score" prompt="Whole number from 1 to 10." sqref="B28:E35" xr:uid="{1182882C-F1F5-4C6D-821A-039A81794DA5}">
      <formula1>1</formula1>
      <formula2>10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CAFFFD-6BD5-4768-B9F6-69D70FE304AE}">
          <x14:formula1>
            <xm:f>SETTINGS!$A$2:$A$11</xm:f>
          </x14:formula1>
          <xm:sqref>B6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C61DD-41FB-4A5E-9C44-EE6DCF62B260}">
  <sheetPr>
    <tabColor rgb="FF5B6770"/>
  </sheetPr>
  <dimension ref="A1:R60"/>
  <sheetViews>
    <sheetView showGridLines="0" workbookViewId="0">
      <selection activeCell="H6" sqref="H6"/>
    </sheetView>
  </sheetViews>
  <sheetFormatPr defaultRowHeight="15" x14ac:dyDescent="0.25"/>
  <cols>
    <col min="1" max="1" width="53.28515625" customWidth="1"/>
    <col min="2" max="9" width="21" customWidth="1"/>
    <col min="10" max="10" width="26.7109375" customWidth="1"/>
    <col min="11" max="12" width="21" customWidth="1"/>
    <col min="14" max="14" width="21" customWidth="1"/>
  </cols>
  <sheetData>
    <row r="1" spans="1:18" ht="26.1" customHeight="1" x14ac:dyDescent="0.25">
      <c r="A1" s="57" t="s">
        <v>49</v>
      </c>
      <c r="B1" s="57"/>
      <c r="C1" s="57"/>
      <c r="D1" s="57"/>
      <c r="E1" s="57"/>
      <c r="F1" s="57"/>
      <c r="G1" s="4"/>
      <c r="H1" s="4"/>
      <c r="I1" s="4"/>
      <c r="J1" s="4"/>
      <c r="K1" s="4"/>
      <c r="L1" s="4"/>
    </row>
    <row r="2" spans="1:18" ht="26.1" customHeight="1" x14ac:dyDescent="0.25">
      <c r="A2" s="57"/>
      <c r="B2" s="57"/>
      <c r="C2" s="57"/>
      <c r="D2" s="57"/>
      <c r="E2" s="57"/>
      <c r="F2" s="57"/>
      <c r="G2" s="4"/>
      <c r="H2" s="4"/>
      <c r="I2" s="4"/>
      <c r="J2" s="4"/>
      <c r="K2" s="4"/>
      <c r="L2" s="4"/>
    </row>
    <row r="3" spans="1:18" x14ac:dyDescent="0.25">
      <c r="A3" s="56" t="s">
        <v>112</v>
      </c>
      <c r="B3" s="56"/>
      <c r="C3" s="56"/>
      <c r="D3" s="56"/>
      <c r="E3" s="56"/>
      <c r="F3" s="56"/>
      <c r="G3" s="4"/>
      <c r="H3" s="4"/>
      <c r="I3" s="4"/>
      <c r="J3" s="4"/>
      <c r="K3" s="4"/>
      <c r="L3" s="4"/>
    </row>
    <row r="4" spans="1:18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8" x14ac:dyDescent="0.25">
      <c r="A5" s="13" t="s">
        <v>44</v>
      </c>
      <c r="B5" s="13" t="s">
        <v>50</v>
      </c>
      <c r="C5" s="13" t="s">
        <v>51</v>
      </c>
      <c r="D5" s="13" t="s">
        <v>52</v>
      </c>
      <c r="E5" s="13" t="s">
        <v>53</v>
      </c>
      <c r="F5" s="4"/>
      <c r="G5" s="13" t="s">
        <v>54</v>
      </c>
      <c r="H5" s="13" t="s">
        <v>55</v>
      </c>
      <c r="I5" s="4"/>
      <c r="J5" s="4"/>
      <c r="K5" s="4"/>
      <c r="L5" s="4"/>
    </row>
    <row r="6" spans="1:18" x14ac:dyDescent="0.25">
      <c r="A6" s="9" t="str">
        <f>IF(INPUT!B10="","",INPUT!B10)</f>
        <v>lenovo</v>
      </c>
      <c r="B6" s="21" cm="1">
        <f t="array" ref="B6">IF(A6="","",SUMPRODUCT((INPUT!$A$15:$A$22&lt;&gt;"")*(INPUT!B28:B35)*(INPUT!$B$15:$B$22)))</f>
        <v>8.35</v>
      </c>
      <c r="C6" s="22">
        <f>IF(B6="","",B6/10)</f>
        <v>0.83499999999999996</v>
      </c>
      <c r="D6" s="23">
        <f>IF(B6="","",COUNTIF($B$6:$B$9,"&gt;"&amp;B6)+1)</f>
        <v>1</v>
      </c>
      <c r="E6" s="9" t="str">
        <f>IF(B6="","",TEXT(B6,"0.00")&amp;" / 10")</f>
        <v>8.35 / 10</v>
      </c>
      <c r="F6" s="4"/>
      <c r="G6" s="4" t="str" cm="1">
        <f t="array" ref="G6">IFERROR(INDEX($A$6:$A$9,_xlfn.AGGREGATE(15,6,(ROW($A$6:$A$9)-ROW($A$6)+1)/($A$6:$A$9&lt;&gt;""),1)),"")</f>
        <v>lenovo</v>
      </c>
      <c r="H6" s="24" cm="1">
        <f t="array" ref="H6">IF(G6="","",INDEX($B$6:$B$9,_xlfn.AGGREGATE(15,6,(ROW($A$6:$A$9)-ROW($A$6)+1)/($A$6:$A$9&lt;&gt;""),1)))</f>
        <v>8.35</v>
      </c>
      <c r="I6" s="4"/>
      <c r="J6" s="4"/>
      <c r="K6" s="4"/>
      <c r="L6" s="4"/>
    </row>
    <row r="7" spans="1:18" x14ac:dyDescent="0.25">
      <c r="A7" s="9" t="str">
        <f>IF(INPUT!C10="","",INPUT!C10)</f>
        <v>HP</v>
      </c>
      <c r="B7" s="21" cm="1">
        <f t="array" ref="B7">IF(A7="","",SUMPRODUCT((INPUT!$A$15:$A$22&lt;&gt;"")*(INPUT!C28:C35)*(INPUT!$B$15:$B$22)))</f>
        <v>7.85</v>
      </c>
      <c r="C7" s="22">
        <f>IF(B7="","",B7/10)</f>
        <v>0.78499999999999992</v>
      </c>
      <c r="D7" s="23">
        <f>IF(B7="","",COUNTIF($B$6:$B$9,"&gt;"&amp;B7)+1)</f>
        <v>3</v>
      </c>
      <c r="E7" s="9" t="str">
        <f>IF(B7="","",TEXT(B7,"0.00")&amp;" / 10")</f>
        <v>7.85 / 10</v>
      </c>
      <c r="F7" s="4"/>
      <c r="G7" s="4" t="str" cm="1">
        <f t="array" ref="G7">IFERROR(INDEX($A$6:$A$9,_xlfn.AGGREGATE(15,6,(ROW($A$6:$A$9)-ROW($A$6)+1)/($A$6:$A$9&lt;&gt;""),2)),"")</f>
        <v>HP</v>
      </c>
      <c r="H7" s="24" cm="1">
        <f t="array" ref="H7">IF(G7="","",INDEX($B$6:$B$9,_xlfn.AGGREGATE(15,6,(ROW($A$6:$A$9)-ROW($A$6)+1)/($A$6:$A$9&lt;&gt;""),2)))</f>
        <v>7.85</v>
      </c>
      <c r="I7" s="4"/>
      <c r="J7" s="4"/>
      <c r="K7" s="4"/>
      <c r="L7" s="4"/>
    </row>
    <row r="8" spans="1:18" x14ac:dyDescent="0.25">
      <c r="A8" s="9" t="str">
        <f>IF(INPUT!D10="","",INPUT!D10)</f>
        <v>ASUS</v>
      </c>
      <c r="B8" s="21" cm="1">
        <f t="array" ref="B8">IF(A8="","",SUMPRODUCT((INPUT!$A$15:$A$22&lt;&gt;"")*(INPUT!D28:D35)*(INPUT!$B$15:$B$22)))</f>
        <v>8.15</v>
      </c>
      <c r="C8" s="22">
        <f>IF(B8="","",B8/10)</f>
        <v>0.81500000000000006</v>
      </c>
      <c r="D8" s="23">
        <f>IF(B8="","",COUNTIF($B$6:$B$9,"&gt;"&amp;B8)+1)</f>
        <v>2</v>
      </c>
      <c r="E8" s="9" t="str">
        <f>IF(B8="","",TEXT(B8,"0.00")&amp;" / 10")</f>
        <v>8.15 / 10</v>
      </c>
      <c r="F8" s="4"/>
      <c r="G8" s="4" t="str" cm="1">
        <f t="array" ref="G8">IFERROR(INDEX($A$6:$A$9,_xlfn.AGGREGATE(15,6,(ROW($A$6:$A$9)-ROW($A$6)+1)/($A$6:$A$9&lt;&gt;""),3)),"")</f>
        <v>ASUS</v>
      </c>
      <c r="H8" s="24" cm="1">
        <f t="array" ref="H8">IF(G8="","",INDEX($B$6:$B$9,_xlfn.AGGREGATE(15,6,(ROW($A$6:$A$9)-ROW($A$6)+1)/($A$6:$A$9&lt;&gt;""),3)))</f>
        <v>8.15</v>
      </c>
      <c r="I8" s="4"/>
      <c r="J8" s="4"/>
      <c r="K8" s="4"/>
      <c r="L8" s="4"/>
    </row>
    <row r="9" spans="1:18" x14ac:dyDescent="0.25">
      <c r="A9" s="9" t="str">
        <f>IF(INPUT!E10="","",INPUT!E10)</f>
        <v/>
      </c>
      <c r="B9" s="21" t="str" cm="1">
        <f t="array" ref="B9">IF(A9="","",SUMPRODUCT((INPUT!$A$15:$A$22&lt;&gt;"")*(INPUT!E28:E35)*(INPUT!$B$15:$B$22)))</f>
        <v/>
      </c>
      <c r="C9" s="22" t="str">
        <f>IF(B9="","",B9/10)</f>
        <v/>
      </c>
      <c r="D9" s="23" t="str">
        <f>IF(B9="","",COUNTIF($B$6:$B$9,"&gt;"&amp;B9)+1)</f>
        <v/>
      </c>
      <c r="E9" s="9" t="str">
        <f>IF(B9="","",TEXT(B9,"0.00")&amp;" / 10")</f>
        <v/>
      </c>
      <c r="F9" s="4"/>
      <c r="G9" s="4" t="str" cm="1">
        <f t="array" ref="G9">IFERROR(INDEX($A$6:$A$9,_xlfn.AGGREGATE(15,6,(ROW($A$6:$A$9)-ROW($A$6)+1)/($A$6:$A$9&lt;&gt;""),4)),"")</f>
        <v/>
      </c>
      <c r="H9" s="24" t="str" cm="1">
        <f t="array" ref="H9">IF(G9="","",INDEX($B$6:$B$9,_xlfn.AGGREGATE(15,6,(ROW($A$6:$A$9)-ROW($A$6)+1)/($A$6:$A$9&lt;&gt;""),4)))</f>
        <v/>
      </c>
      <c r="I9" s="4"/>
      <c r="J9" s="4"/>
      <c r="K9" s="4"/>
      <c r="L9" s="4"/>
    </row>
    <row r="10" spans="1:18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8" x14ac:dyDescent="0.25">
      <c r="A11" s="6" t="s">
        <v>56</v>
      </c>
      <c r="B11" s="25" t="str">
        <f>IF(COUNT(B6:B9)=0,"",INDEX(A6:A9,MATCH(MAX(B6:B9),B6:B9,0)))</f>
        <v>lenovo</v>
      </c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8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8" ht="15.75" x14ac:dyDescent="0.25">
      <c r="A13" s="54" t="s">
        <v>57</v>
      </c>
      <c r="B13" s="54"/>
      <c r="C13" s="54"/>
      <c r="D13" s="54"/>
      <c r="E13" s="54"/>
      <c r="F13" s="54"/>
      <c r="G13" s="4"/>
      <c r="H13" s="4"/>
      <c r="I13" s="4"/>
      <c r="J13" s="54" t="s">
        <v>103</v>
      </c>
      <c r="K13" s="54"/>
      <c r="L13" s="54"/>
    </row>
    <row r="14" spans="1:18" x14ac:dyDescent="0.25">
      <c r="A14" s="13" t="s">
        <v>27</v>
      </c>
      <c r="B14" s="13" t="s">
        <v>46</v>
      </c>
      <c r="C14" s="13" t="str">
        <f>IF(INPUT!B10="","Option 1",INPUT!B10)</f>
        <v>lenovo</v>
      </c>
      <c r="D14" s="13" t="str">
        <f>IF(INPUT!C10="","Option 2",INPUT!C10)</f>
        <v>HP</v>
      </c>
      <c r="E14" s="13" t="str">
        <f>IF(INPUT!D10="","Option 3",INPUT!D10)</f>
        <v>ASUS</v>
      </c>
      <c r="F14" s="13" t="str">
        <f>IF(INPUT!E10="","Option 4",INPUT!E10)</f>
        <v>Option 4</v>
      </c>
      <c r="G14" s="4"/>
      <c r="H14" s="4"/>
      <c r="I14" s="4"/>
      <c r="J14" s="13" t="s">
        <v>28</v>
      </c>
      <c r="K14" s="13" t="s">
        <v>29</v>
      </c>
      <c r="L14" s="13" t="s">
        <v>30</v>
      </c>
      <c r="N14" s="13" t="s">
        <v>27</v>
      </c>
      <c r="O14" s="1" t="str">
        <f>IF(INPUT!B10="","Option 1",INPUT!B10)</f>
        <v>lenovo</v>
      </c>
      <c r="P14" s="1" t="str">
        <f>IF(INPUT!C10="","Option 2",INPUT!C10)</f>
        <v>HP</v>
      </c>
      <c r="Q14" s="1" t="str">
        <f>IF(INPUT!D10="","Option 3",INPUT!D10)</f>
        <v>ASUS</v>
      </c>
      <c r="R14" s="1" t="str">
        <f>IF(INPUT!E10="","Option 4",INPUT!E10)</f>
        <v>Option 4</v>
      </c>
    </row>
    <row r="15" spans="1:18" x14ac:dyDescent="0.25">
      <c r="A15" s="9" t="str">
        <f>IF(INPUT!A15="","",INPUT!A15)</f>
        <v>Price</v>
      </c>
      <c r="B15" s="26">
        <f>IF(A15="","",INPUT!B15)</f>
        <v>0.25</v>
      </c>
      <c r="C15" s="27">
        <f>IF(OR(A15="",INPUT!B10="",INPUT!B28=""),"",INPUT!B28*INPUT!B15)</f>
        <v>2</v>
      </c>
      <c r="D15" s="27">
        <f>IF(OR(A15="",INPUT!C10="",INPUT!C28=""),"",INPUT!C28*INPUT!B15)</f>
        <v>2.25</v>
      </c>
      <c r="E15" s="27">
        <f>IF(OR(A15="",INPUT!D10="",INPUT!D28=""),"",INPUT!D28*INPUT!B15)</f>
        <v>1.75</v>
      </c>
      <c r="F15" s="27" t="str">
        <f>IF(OR(A15="",INPUT!E10="",INPUT!E28=""),"",INPUT!E28*INPUT!B15)</f>
        <v/>
      </c>
      <c r="G15" s="4"/>
      <c r="H15" s="4"/>
      <c r="I15" s="4"/>
      <c r="J15" s="28">
        <f>IF(A15="","",IFERROR(_xlfn.XLOOKUP(A15,SETTINGS!$E$3:$E$8,SETTINGS!$F$3:$F$8),B15))</f>
        <v>0.5</v>
      </c>
      <c r="K15" s="28">
        <f>IF(A15="","",IFERROR(_xlfn.XLOOKUP(A15,SETTINGS!$E$3:$E$8,SETTINGS!$G$3:$G$8),B15))</f>
        <v>0.1</v>
      </c>
      <c r="L15" s="28">
        <f>IF(A15="","",IFERROR(_xlfn.XLOOKUP(A15,SETTINGS!$E$3:$E$8,SETTINGS!$H$3:$H$8),B15))</f>
        <v>0.1</v>
      </c>
      <c r="N15" t="str">
        <f>IF(A15="","",A15)</f>
        <v>Price</v>
      </c>
      <c r="O15" s="2">
        <f>IF(OR(N15="",INPUT!B10="",INPUT!B28=""),"",INPUT!B28)</f>
        <v>8</v>
      </c>
      <c r="P15" s="2">
        <f>IF(OR(N15="",INPUT!C10="",INPUT!C28=""),"",INPUT!C28)</f>
        <v>9</v>
      </c>
      <c r="Q15" s="2">
        <f>IF(OR(N15="",INPUT!D10="",INPUT!D28=""),"",INPUT!D28)</f>
        <v>7</v>
      </c>
      <c r="R15" s="2" t="str">
        <f>IF(OR(N15="",INPUT!E10="",INPUT!E28=""),"",INPUT!E28)</f>
        <v/>
      </c>
    </row>
    <row r="16" spans="1:18" x14ac:dyDescent="0.25">
      <c r="A16" s="9" t="str">
        <f>IF(INPUT!A16="","",INPUT!A16)</f>
        <v>Performance</v>
      </c>
      <c r="B16" s="26">
        <f>IF(A16="","",INPUT!B16)</f>
        <v>0.3</v>
      </c>
      <c r="C16" s="27">
        <f>IF(OR(A16="",INPUT!B10="",INPUT!B29=""),"",INPUT!B29*INPUT!B16)</f>
        <v>2.6999999999999997</v>
      </c>
      <c r="D16" s="27">
        <f>IF(OR(A16="",INPUT!C10="",INPUT!C29=""),"",INPUT!C29*INPUT!B16)</f>
        <v>2.1</v>
      </c>
      <c r="E16" s="27">
        <f>IF(OR(A16="",INPUT!D10="",INPUT!D29=""),"",INPUT!D29*INPUT!B16)</f>
        <v>3</v>
      </c>
      <c r="F16" s="27" t="str">
        <f>IF(OR(A16="",INPUT!E10="",INPUT!E29=""),"",INPUT!E29*INPUT!B16)</f>
        <v/>
      </c>
      <c r="G16" s="4"/>
      <c r="H16" s="4"/>
      <c r="I16" s="4"/>
      <c r="J16" s="28">
        <f>IF(A16="","",IFERROR(_xlfn.XLOOKUP(A16,SETTINGS!$E$3:$E$8,SETTINGS!$F$3:$F$8),B16))</f>
        <v>0.15</v>
      </c>
      <c r="K16" s="28">
        <f>IF(A16="","",IFERROR(_xlfn.XLOOKUP(A16,SETTINGS!$E$3:$E$8,SETTINGS!$G$3:$G$8),B16))</f>
        <v>0.45</v>
      </c>
      <c r="L16" s="28">
        <f>IF(A16="","",IFERROR(_xlfn.XLOOKUP(A16,SETTINGS!$E$3:$E$8,SETTINGS!$H$3:$H$8),B16))</f>
        <v>0.15</v>
      </c>
      <c r="N16" t="str">
        <f>IF(A16="","",A16)</f>
        <v>Performance</v>
      </c>
      <c r="O16" s="2">
        <f>IF(OR(N16="",INPUT!B10="",INPUT!B29=""),"",INPUT!B29)</f>
        <v>9</v>
      </c>
      <c r="P16" s="2">
        <f>IF(OR(N16="",INPUT!C10="",INPUT!C29=""),"",INPUT!C29)</f>
        <v>7</v>
      </c>
      <c r="Q16" s="2">
        <f>IF(OR(N16="",INPUT!D10="",INPUT!D29=""),"",INPUT!D29)</f>
        <v>10</v>
      </c>
      <c r="R16" s="2" t="str">
        <f>IF(OR(N16="",INPUT!E10="",INPUT!E29=""),"",INPUT!E29)</f>
        <v/>
      </c>
    </row>
    <row r="17" spans="1:18" x14ac:dyDescent="0.25">
      <c r="A17" s="9" t="str">
        <f>IF(INPUT!A17="","",INPUT!A17)</f>
        <v>Battery</v>
      </c>
      <c r="B17" s="26">
        <f>IF(A17="","",INPUT!B17)</f>
        <v>0.1</v>
      </c>
      <c r="C17" s="27">
        <f>IF(OR(A17="",INPUT!B10="",INPUT!B30=""),"",INPUT!B30*INPUT!B17)</f>
        <v>0.70000000000000007</v>
      </c>
      <c r="D17" s="27">
        <f>IF(OR(A17="",INPUT!C10="",INPUT!C30=""),"",INPUT!C30*INPUT!B17)</f>
        <v>0.9</v>
      </c>
      <c r="E17" s="27">
        <f>IF(OR(A17="",INPUT!D10="",INPUT!D30=""),"",INPUT!D30*INPUT!B17)</f>
        <v>0.60000000000000009</v>
      </c>
      <c r="F17" s="27" t="str">
        <f>IF(OR(A17="",INPUT!E10="",INPUT!E30=""),"",INPUT!E30*INPUT!B17)</f>
        <v/>
      </c>
      <c r="G17" s="4"/>
      <c r="H17" s="4"/>
      <c r="I17" s="4"/>
      <c r="J17" s="28">
        <f>IF(A17="","",IFERROR(_xlfn.XLOOKUP(A17,SETTINGS!$E$3:$E$8,SETTINGS!$F$3:$F$8),B17))</f>
        <v>0.1</v>
      </c>
      <c r="K17" s="28">
        <f>IF(A17="","",IFERROR(_xlfn.XLOOKUP(A17,SETTINGS!$E$3:$E$8,SETTINGS!$G$3:$G$8),B17))</f>
        <v>0.1</v>
      </c>
      <c r="L17" s="28">
        <f>IF(A17="","",IFERROR(_xlfn.XLOOKUP(A17,SETTINGS!$E$3:$E$8,SETTINGS!$H$3:$H$8),B17))</f>
        <v>0.15</v>
      </c>
      <c r="N17" t="str">
        <f>IF(A17="","",A17)</f>
        <v>Battery</v>
      </c>
      <c r="O17" s="2">
        <f>IF(OR(N17="",INPUT!B10="",INPUT!B30=""),"",INPUT!B30)</f>
        <v>7</v>
      </c>
      <c r="P17" s="2">
        <f>IF(OR(N17="",INPUT!C10="",INPUT!C30=""),"",INPUT!C30)</f>
        <v>9</v>
      </c>
      <c r="Q17" s="2">
        <f>IF(OR(N17="",INPUT!D10="",INPUT!D30=""),"",INPUT!D30)</f>
        <v>6</v>
      </c>
      <c r="R17" s="2" t="str">
        <f>IF(OR(N17="",INPUT!E10="",INPUT!E30=""),"",INPUT!E30)</f>
        <v/>
      </c>
    </row>
    <row r="18" spans="1:18" x14ac:dyDescent="0.25">
      <c r="A18" s="9" t="str">
        <f>IF(INPUT!A18="","",INPUT!A18)</f>
        <v>Display</v>
      </c>
      <c r="B18" s="26">
        <f>IF(A18="","",INPUT!B18)</f>
        <v>0.1</v>
      </c>
      <c r="C18" s="27">
        <f>IF(OR(A18="",INPUT!B10="",INPUT!B31=""),"",INPUT!B31*INPUT!B18)</f>
        <v>0.8</v>
      </c>
      <c r="D18" s="27">
        <f>IF(OR(A18="",INPUT!C10="",INPUT!C31=""),"",INPUT!C31*INPUT!B18)</f>
        <v>0.8</v>
      </c>
      <c r="E18" s="27">
        <f>IF(OR(A18="",INPUT!D10="",INPUT!D31=""),"",INPUT!D31*INPUT!B18)</f>
        <v>0.9</v>
      </c>
      <c r="F18" s="27" t="str">
        <f>IF(OR(A18="",INPUT!E10="",INPUT!E31=""),"",INPUT!E31*INPUT!B18)</f>
        <v/>
      </c>
      <c r="G18" s="4"/>
      <c r="H18" s="4"/>
      <c r="I18" s="4"/>
      <c r="J18" s="28">
        <f>IF(A18="","",IFERROR(_xlfn.XLOOKUP(A18,SETTINGS!$E$3:$E$8,SETTINGS!$F$3:$F$8),B18))</f>
        <v>0.05</v>
      </c>
      <c r="K18" s="28">
        <f>IF(A18="","",IFERROR(_xlfn.XLOOKUP(A18,SETTINGS!$E$3:$E$8,SETTINGS!$G$3:$G$8),B18))</f>
        <v>0.15</v>
      </c>
      <c r="L18" s="28">
        <f>IF(A18="","",IFERROR(_xlfn.XLOOKUP(A18,SETTINGS!$E$3:$E$8,SETTINGS!$H$3:$H$8),B18))</f>
        <v>0.05</v>
      </c>
      <c r="N18" t="str">
        <f>IF(A18="","",A18)</f>
        <v>Display</v>
      </c>
      <c r="O18" s="2">
        <f>IF(OR(N18="",INPUT!B10="",INPUT!B31=""),"",INPUT!B31)</f>
        <v>8</v>
      </c>
      <c r="P18" s="2">
        <f>IF(OR(N18="",INPUT!C10="",INPUT!C31=""),"",INPUT!C31)</f>
        <v>8</v>
      </c>
      <c r="Q18" s="2">
        <f>IF(OR(N18="",INPUT!D10="",INPUT!D31=""),"",INPUT!D31)</f>
        <v>9</v>
      </c>
      <c r="R18" s="2" t="str">
        <f>IF(OR(N18="",INPUT!E10="",INPUT!E31=""),"",INPUT!E31)</f>
        <v/>
      </c>
    </row>
    <row r="19" spans="1:18" x14ac:dyDescent="0.25">
      <c r="A19" s="9" t="str">
        <f>IF(INPUT!A19="","",INPUT!A19)</f>
        <v>Upgradeability</v>
      </c>
      <c r="B19" s="26">
        <f>IF(A19="","",INPUT!B19)</f>
        <v>0.15</v>
      </c>
      <c r="C19" s="27">
        <f>IF(OR(A19="",INPUT!B10="",INPUT!B32=""),"",INPUT!B32*INPUT!B19)</f>
        <v>1.3499999999999999</v>
      </c>
      <c r="D19" s="27">
        <f>IF(OR(A19="",INPUT!C10="",INPUT!C32=""),"",INPUT!C32*INPUT!B19)</f>
        <v>0.89999999999999991</v>
      </c>
      <c r="E19" s="27">
        <f>IF(OR(A19="",INPUT!D10="",INPUT!D32=""),"",INPUT!D32*INPUT!B19)</f>
        <v>1.2</v>
      </c>
      <c r="F19" s="27" t="str">
        <f>IF(OR(A19="",INPUT!E10="",INPUT!E32=""),"",INPUT!E32*INPUT!B19)</f>
        <v/>
      </c>
      <c r="G19" s="4"/>
      <c r="H19" s="4"/>
      <c r="I19" s="4"/>
      <c r="J19" s="28">
        <f>IF(A19="","",IFERROR(_xlfn.XLOOKUP(A19,SETTINGS!$E$3:$E$8,SETTINGS!$F$3:$F$8),B19))</f>
        <v>0.1</v>
      </c>
      <c r="K19" s="28">
        <f>IF(A19="","",IFERROR(_xlfn.XLOOKUP(A19,SETTINGS!$E$3:$E$8,SETTINGS!$G$3:$G$8),B19))</f>
        <v>0.15</v>
      </c>
      <c r="L19" s="28">
        <f>IF(A19="","",IFERROR(_xlfn.XLOOKUP(A19,SETTINGS!$E$3:$E$8,SETTINGS!$H$3:$H$8),B19))</f>
        <v>0.25</v>
      </c>
      <c r="N19" t="str">
        <f>IF(A19="","",A19)</f>
        <v>Upgradeability</v>
      </c>
      <c r="O19" s="2">
        <f>IF(OR(N19="",INPUT!B10="",INPUT!B32=""),"",INPUT!B32)</f>
        <v>9</v>
      </c>
      <c r="P19" s="2">
        <f>IF(OR(N19="",INPUT!C10="",INPUT!C32=""),"",INPUT!C32)</f>
        <v>6</v>
      </c>
      <c r="Q19" s="2">
        <f>IF(OR(N19="",INPUT!D10="",INPUT!D32=""),"",INPUT!D32)</f>
        <v>8</v>
      </c>
      <c r="R19" s="2" t="str">
        <f>IF(OR(N19="",INPUT!E10="",INPUT!E32=""),"",INPUT!E32)</f>
        <v/>
      </c>
    </row>
    <row r="20" spans="1:18" x14ac:dyDescent="0.25">
      <c r="A20" s="9" t="str">
        <f>IF(INPUT!A20="","",INPUT!A20)</f>
        <v>Warranty</v>
      </c>
      <c r="B20" s="26">
        <f>IF(A20="","",INPUT!B20)</f>
        <v>0.1</v>
      </c>
      <c r="C20" s="27">
        <f>IF(OR(A20="",INPUT!B10="",INPUT!B33=""),"",INPUT!B33*INPUT!B20)</f>
        <v>0.8</v>
      </c>
      <c r="D20" s="27">
        <f>IF(OR(A20="",INPUT!C10="",INPUT!C33=""),"",INPUT!C33*INPUT!B20)</f>
        <v>0.9</v>
      </c>
      <c r="E20" s="27">
        <f>IF(OR(A20="",INPUT!D10="",INPUT!D33=""),"",INPUT!D33*INPUT!B20)</f>
        <v>0.70000000000000007</v>
      </c>
      <c r="F20" s="27" t="str">
        <f>IF(OR(A20="",INPUT!E10="",INPUT!E33=""),"",INPUT!E33*INPUT!B20)</f>
        <v/>
      </c>
      <c r="G20" s="4"/>
      <c r="H20" s="4"/>
      <c r="I20" s="4"/>
      <c r="J20" s="28">
        <f>IF(A20="","",IFERROR(_xlfn.XLOOKUP(A20,SETTINGS!$E$3:$E$8,SETTINGS!$F$3:$F$8),B20))</f>
        <v>0.1</v>
      </c>
      <c r="K20" s="28">
        <f>IF(A20="","",IFERROR(_xlfn.XLOOKUP(A20,SETTINGS!$E$3:$E$8,SETTINGS!$G$3:$G$8),B20))</f>
        <v>0.05</v>
      </c>
      <c r="L20" s="28">
        <f>IF(A20="","",IFERROR(_xlfn.XLOOKUP(A20,SETTINGS!$E$3:$E$8,SETTINGS!$H$3:$H$8),B20))</f>
        <v>0.3</v>
      </c>
      <c r="N20" t="str">
        <f>IF(A20="","",A20)</f>
        <v>Warranty</v>
      </c>
      <c r="O20" s="2">
        <f>IF(OR(N20="",INPUT!B10="",INPUT!B33=""),"",INPUT!B33)</f>
        <v>8</v>
      </c>
      <c r="P20" s="2">
        <f>IF(OR(N20="",INPUT!C10="",INPUT!C33=""),"",INPUT!C33)</f>
        <v>9</v>
      </c>
      <c r="Q20" s="2">
        <f>IF(OR(N20="",INPUT!D10="",INPUT!D33=""),"",INPUT!D33)</f>
        <v>7</v>
      </c>
      <c r="R20" s="2" t="str">
        <f>IF(OR(N20="",INPUT!E10="",INPUT!E33=""),"",INPUT!E33)</f>
        <v/>
      </c>
    </row>
    <row r="21" spans="1:18" x14ac:dyDescent="0.25">
      <c r="A21" s="9" t="str">
        <f>IF(INPUT!A21="","",INPUT!A21)</f>
        <v/>
      </c>
      <c r="B21" s="26" t="str">
        <f>IF(A21="","",INPUT!B21)</f>
        <v/>
      </c>
      <c r="C21" s="27" t="str">
        <f>IF(OR(A21="",INPUT!B10="",INPUT!B34=""),"",INPUT!B34*INPUT!B21)</f>
        <v/>
      </c>
      <c r="D21" s="27" t="str">
        <f>IF(OR(A21="",INPUT!C10="",INPUT!C34=""),"",INPUT!C34*INPUT!B21)</f>
        <v/>
      </c>
      <c r="E21" s="27" t="str">
        <f>IF(OR(A21="",INPUT!D10="",INPUT!D34=""),"",INPUT!D34*INPUT!B21)</f>
        <v/>
      </c>
      <c r="F21" s="27" t="str">
        <f>IF(OR(A21="",INPUT!E10="",INPUT!E34=""),"",INPUT!E34*INPUT!B21)</f>
        <v/>
      </c>
      <c r="G21" s="4"/>
      <c r="H21" s="4"/>
      <c r="I21" s="4"/>
      <c r="J21" s="28" t="str">
        <f>IF(A21="","",IFERROR(_xlfn.XLOOKUP(A21,SETTINGS!$E$3:$E$8,SETTINGS!$F$3:$F$8),B21))</f>
        <v/>
      </c>
      <c r="K21" s="28" t="str">
        <f>IF(A21="","",IFERROR(_xlfn.XLOOKUP(A21,SETTINGS!$E$3:$E$8,SETTINGS!$G$3:$G$8),B21))</f>
        <v/>
      </c>
      <c r="L21" s="28" t="str">
        <f>IF(A21="","",IFERROR(_xlfn.XLOOKUP(A21,SETTINGS!$E$3:$E$8,SETTINGS!$H$3:$H$8),B21))</f>
        <v/>
      </c>
      <c r="N21" t="str">
        <f>IF(A21="","",A21)</f>
        <v/>
      </c>
      <c r="O21" s="2" t="str">
        <f>IF(OR(N21="",INPUT!B10="",INPUT!B34=""),"",INPUT!B34)</f>
        <v/>
      </c>
      <c r="P21" s="2" t="str">
        <f>IF(OR(N21="",INPUT!C10="",INPUT!C34=""),"",INPUT!C34)</f>
        <v/>
      </c>
      <c r="Q21" s="2" t="str">
        <f>IF(OR(N21="",INPUT!D10="",INPUT!D34=""),"",INPUT!D34)</f>
        <v/>
      </c>
      <c r="R21" s="2" t="str">
        <f>IF(OR(N21="",INPUT!E10="",INPUT!E34=""),"",INPUT!E34)</f>
        <v/>
      </c>
    </row>
    <row r="22" spans="1:18" x14ac:dyDescent="0.25">
      <c r="A22" s="9" t="str">
        <f>IF(INPUT!A22="","",INPUT!A22)</f>
        <v/>
      </c>
      <c r="B22" s="26" t="str">
        <f>IF(A22="","",INPUT!B22)</f>
        <v/>
      </c>
      <c r="C22" s="27" t="str">
        <f>IF(OR(A22="",INPUT!B10="",INPUT!B35=""),"",INPUT!B35*INPUT!B22)</f>
        <v/>
      </c>
      <c r="D22" s="27" t="str">
        <f>IF(OR(A22="",INPUT!C10="",INPUT!C35=""),"",INPUT!C35*INPUT!B22)</f>
        <v/>
      </c>
      <c r="E22" s="27" t="str">
        <f>IF(OR(A22="",INPUT!D10="",INPUT!D35=""),"",INPUT!D35*INPUT!B22)</f>
        <v/>
      </c>
      <c r="F22" s="27" t="str">
        <f>IF(OR(A22="",INPUT!E10="",INPUT!E35=""),"",INPUT!E35*INPUT!B22)</f>
        <v/>
      </c>
      <c r="G22" s="4"/>
      <c r="H22" s="4"/>
      <c r="I22" s="4"/>
      <c r="J22" s="28" t="str">
        <f>IF(A22="","",IFERROR(_xlfn.XLOOKUP(A22,SETTINGS!$E$3:$E$8,SETTINGS!$F$3:$F$8),B22))</f>
        <v/>
      </c>
      <c r="K22" s="28" t="str">
        <f>IF(A22="","",IFERROR(_xlfn.XLOOKUP(A22,SETTINGS!$E$3:$E$8,SETTINGS!$G$3:$G$8),B22))</f>
        <v/>
      </c>
      <c r="L22" s="28" t="str">
        <f>IF(A22="","",IFERROR(_xlfn.XLOOKUP(A22,SETTINGS!$E$3:$E$8,SETTINGS!$H$3:$H$8),B22))</f>
        <v/>
      </c>
      <c r="N22" t="str">
        <f>IF(A22="","",A22)</f>
        <v/>
      </c>
      <c r="O22" s="2" t="str">
        <f>IF(OR(N22="",INPUT!B10="",INPUT!B35=""),"",INPUT!B35)</f>
        <v/>
      </c>
      <c r="P22" s="2" t="str">
        <f>IF(OR(N22="",INPUT!C10="",INPUT!C35=""),"",INPUT!C35)</f>
        <v/>
      </c>
      <c r="Q22" s="2" t="str">
        <f>IF(OR(N22="",INPUT!D10="",INPUT!D35=""),"",INPUT!D35)</f>
        <v/>
      </c>
      <c r="R22" s="2" t="str">
        <f>IF(OR(N22="",INPUT!E10="",INPUT!E35=""),"",INPUT!E35)</f>
        <v/>
      </c>
    </row>
    <row r="23" spans="1:18" x14ac:dyDescent="0.25">
      <c r="A23" s="19" t="s">
        <v>58</v>
      </c>
      <c r="B23" s="18">
        <f>SUM(B15:B22)</f>
        <v>1</v>
      </c>
      <c r="C23" s="29">
        <f>IF(INPUT!B10="","",SUM(C15:C22))</f>
        <v>8.35</v>
      </c>
      <c r="D23" s="29">
        <f>IF(INPUT!C10="","",SUM(D15:D22))</f>
        <v>7.85</v>
      </c>
      <c r="E23" s="29">
        <f>IF(INPUT!D10="","",SUM(E15:E22))</f>
        <v>8.15</v>
      </c>
      <c r="F23" s="29" t="str">
        <f>IF(INPUT!E10="","",SUM(F15:F22))</f>
        <v/>
      </c>
      <c r="G23" s="4"/>
      <c r="H23" s="4"/>
      <c r="I23" s="4"/>
      <c r="J23" s="4"/>
      <c r="K23" s="4"/>
      <c r="L23" s="4"/>
    </row>
    <row r="24" spans="1:18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8" x14ac:dyDescent="0.25">
      <c r="A25" s="4"/>
      <c r="B25" s="4"/>
      <c r="C25" s="4"/>
      <c r="D25" s="4"/>
      <c r="E25" s="4"/>
      <c r="F25" s="4"/>
      <c r="G25" s="4"/>
      <c r="H25" s="4"/>
      <c r="I25" s="30" t="s">
        <v>59</v>
      </c>
      <c r="J25" s="31" t="s">
        <v>28</v>
      </c>
      <c r="K25" s="31" t="s">
        <v>29</v>
      </c>
      <c r="L25" s="31" t="s">
        <v>30</v>
      </c>
    </row>
    <row r="26" spans="1:18" x14ac:dyDescent="0.25">
      <c r="A26" s="4"/>
      <c r="B26" s="4"/>
      <c r="C26" s="4"/>
      <c r="D26" s="4"/>
      <c r="E26" s="4"/>
      <c r="F26" s="4"/>
      <c r="G26" s="4"/>
      <c r="H26" s="4"/>
      <c r="I26" s="9" t="str">
        <f>A6</f>
        <v>lenovo</v>
      </c>
      <c r="J26" s="24">
        <f>IF(OR(A6="",SUM(J15:J22)=0),"",SUMPRODUCT(INPUT!B28:B35,J15:J22)/SUM(J15:J22))</f>
        <v>8.15</v>
      </c>
      <c r="K26" s="24">
        <f>IF(OR(A6="",SUM(K15:K22)=0),"",SUMPRODUCT(INPUT!B28:B35,K15:K22)/SUM(K15:K22))</f>
        <v>8.5</v>
      </c>
      <c r="L26" s="24">
        <f>IF(OR(A6="",SUM(L15:L22)=0),"",SUMPRODUCT(INPUT!B28:B35,L15:L22)/SUM(L15:L22))</f>
        <v>8.25</v>
      </c>
    </row>
    <row r="27" spans="1:18" x14ac:dyDescent="0.25">
      <c r="A27" s="4"/>
      <c r="B27" s="4"/>
      <c r="C27" s="4"/>
      <c r="D27" s="4"/>
      <c r="E27" s="4"/>
      <c r="F27" s="4"/>
      <c r="G27" s="4"/>
      <c r="H27" s="4"/>
      <c r="I27" s="9" t="str">
        <f>A7</f>
        <v>HP</v>
      </c>
      <c r="J27" s="24">
        <f>IF(OR(A7="",SUM(J15:J22)=0),"",SUMPRODUCT(INPUT!C28:C35,J15:J22)/SUM(J15:J22))</f>
        <v>8.3500000000000014</v>
      </c>
      <c r="K27" s="24">
        <f>IF(OR(A7="",SUM(K15:K22)=0),"",SUMPRODUCT(INPUT!C28:C35,K15:K22)/SUM(K15:K22))</f>
        <v>7.5000000000000009</v>
      </c>
      <c r="L27" s="24">
        <f>IF(OR(A7="",SUM(L15:L22)=0),"",SUMPRODUCT(INPUT!C28:C35,L15:L22)/SUM(L15:L22))</f>
        <v>7.8999999999999986</v>
      </c>
    </row>
    <row r="28" spans="1:18" x14ac:dyDescent="0.25">
      <c r="A28" s="4"/>
      <c r="B28" s="4"/>
      <c r="C28" s="4"/>
      <c r="D28" s="4"/>
      <c r="E28" s="4"/>
      <c r="F28" s="4"/>
      <c r="G28" s="4"/>
      <c r="H28" s="4"/>
      <c r="I28" s="9" t="str">
        <f>A8</f>
        <v>ASUS</v>
      </c>
      <c r="J28" s="24">
        <f>IF(OR(A8="",SUM(J15:J22)=0),"",SUMPRODUCT(INPUT!D28:D35,J15:J22)/SUM(J15:J22))</f>
        <v>7.55</v>
      </c>
      <c r="K28" s="24">
        <f>IF(OR(A8="",SUM(K15:K22)=0),"",SUMPRODUCT(INPUT!D28:D35,K15:K22)/SUM(K15:K22))</f>
        <v>8.6999999999999993</v>
      </c>
      <c r="L28" s="24">
        <f>IF(OR(A8="",SUM(L15:L22)=0),"",SUMPRODUCT(INPUT!D28:D35,L15:L22)/SUM(L15:L22))</f>
        <v>7.65</v>
      </c>
    </row>
    <row r="29" spans="1:18" x14ac:dyDescent="0.25">
      <c r="A29" s="4"/>
      <c r="B29" s="4"/>
      <c r="C29" s="4"/>
      <c r="D29" s="4"/>
      <c r="E29" s="4"/>
      <c r="F29" s="4"/>
      <c r="G29" s="4"/>
      <c r="H29" s="4"/>
      <c r="I29" s="9" t="str">
        <f>A9</f>
        <v/>
      </c>
      <c r="J29" s="24" t="str">
        <f>IF(OR(A9="",SUM(J15:J22)=0),"",SUMPRODUCT(INPUT!E28:E35,J15:J22)/SUM(J15:J22))</f>
        <v/>
      </c>
      <c r="K29" s="24" t="str">
        <f>IF(OR(A9="",SUM(K15:K22)=0),"",SUMPRODUCT(INPUT!E28:E35,K15:K22)/SUM(K15:K22))</f>
        <v/>
      </c>
      <c r="L29" s="24" t="str">
        <f>IF(OR(A9="",SUM(L15:L22)=0),"",SUMPRODUCT(INPUT!E28:E35,L15:L22)/SUM(L15:L22))</f>
        <v/>
      </c>
    </row>
    <row r="30" spans="1:18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8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8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</sheetData>
  <mergeCells count="4">
    <mergeCell ref="A1:F2"/>
    <mergeCell ref="A3:F3"/>
    <mergeCell ref="A13:F13"/>
    <mergeCell ref="J13:L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B1643-D528-4D69-B0B1-63B76B4358CA}">
  <sheetPr>
    <tabColor rgb="FF1F7A8C"/>
  </sheetPr>
  <dimension ref="A1:L60"/>
  <sheetViews>
    <sheetView showGridLines="0" workbookViewId="0">
      <selection sqref="A1:L2"/>
    </sheetView>
  </sheetViews>
  <sheetFormatPr defaultRowHeight="15" x14ac:dyDescent="0.25"/>
  <cols>
    <col min="1" max="1" width="68.5703125" customWidth="1"/>
    <col min="2" max="2" width="38.140625" customWidth="1"/>
    <col min="3" max="7" width="21" customWidth="1"/>
    <col min="8" max="12" width="14.85546875" customWidth="1"/>
  </cols>
  <sheetData>
    <row r="1" spans="1:12" ht="27.95" customHeight="1" x14ac:dyDescent="0.25">
      <c r="A1" s="51" t="s">
        <v>60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2" ht="27.95" customHeight="1" x14ac:dyDescent="0.2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</row>
    <row r="3" spans="1:12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8.75" x14ac:dyDescent="0.3">
      <c r="A4" s="32" t="s">
        <v>61</v>
      </c>
      <c r="B4" s="58" t="str">
        <f>INPUT!B4</f>
        <v>Which laptop should I buy?</v>
      </c>
      <c r="C4" s="58"/>
      <c r="D4" s="58"/>
      <c r="E4" s="58"/>
      <c r="F4" s="58"/>
      <c r="G4" s="58"/>
      <c r="H4" s="58"/>
      <c r="I4" s="6" t="s">
        <v>62</v>
      </c>
      <c r="J4" s="9" t="str">
        <f>INPUT!B6</f>
        <v>Laptop</v>
      </c>
      <c r="K4" s="4"/>
      <c r="L4" s="4"/>
    </row>
    <row r="5" spans="1:12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26.1" customHeight="1" x14ac:dyDescent="0.3">
      <c r="A6" s="59" t="str">
        <f>IF(CALCULATOR!B11="","Add options on INPUT to see a recommendation.","Recommended: "&amp;CALCULATOR!B11&amp;"  ·  "&amp;TEXT(MAX(CALCULATOR!B6:B9),"0.00")&amp;" / 10")</f>
        <v>Recommended: lenovo  ·  8.35 / 10</v>
      </c>
      <c r="B6" s="59"/>
      <c r="C6" s="59"/>
      <c r="D6" s="59"/>
      <c r="E6" s="59"/>
      <c r="F6" s="59"/>
      <c r="G6" s="59"/>
      <c r="H6" s="59"/>
      <c r="I6" s="4"/>
      <c r="J6" s="4"/>
      <c r="K6" s="4"/>
      <c r="L6" s="4"/>
    </row>
    <row r="7" spans="1:12" x14ac:dyDescent="0.25">
      <c r="A7" s="60" t="s">
        <v>63</v>
      </c>
      <c r="B7" s="60"/>
      <c r="C7" s="60"/>
      <c r="D7" s="61" t="s">
        <v>66</v>
      </c>
      <c r="E7" s="61"/>
      <c r="F7" s="61"/>
      <c r="G7" s="62" t="s">
        <v>67</v>
      </c>
      <c r="H7" s="62"/>
      <c r="I7" s="62"/>
      <c r="J7" s="63" t="s">
        <v>68</v>
      </c>
      <c r="K7" s="63"/>
      <c r="L7" s="63"/>
    </row>
    <row r="8" spans="1:12" ht="24" customHeight="1" x14ac:dyDescent="0.3">
      <c r="A8" s="64" t="str">
        <f>IF(CALCULATOR!A6="","Not used",CALCULATOR!A6)</f>
        <v>lenovo</v>
      </c>
      <c r="B8" s="64"/>
      <c r="C8" s="64"/>
      <c r="D8" s="72" t="str">
        <f>IF(CALCULATOR!A7="","Not used",CALCULATOR!A7)</f>
        <v>HP</v>
      </c>
      <c r="E8" s="72"/>
      <c r="F8" s="72"/>
      <c r="G8" s="64" t="str">
        <f>IF(CALCULATOR!A8="","Not used",CALCULATOR!A8)</f>
        <v>ASUS</v>
      </c>
      <c r="H8" s="64"/>
      <c r="I8" s="64"/>
      <c r="J8" s="79" t="str">
        <f>IF(CALCULATOR!A9="","Not used",CALCULATOR!A9)</f>
        <v>Not used</v>
      </c>
      <c r="K8" s="79"/>
      <c r="L8" s="79"/>
    </row>
    <row r="9" spans="1:12" ht="21" x14ac:dyDescent="0.35">
      <c r="A9" s="65" t="s">
        <v>64</v>
      </c>
      <c r="B9" s="66"/>
      <c r="C9" s="67">
        <f>IF(CALCULATOR!A6="","",CALCULATOR!B6)</f>
        <v>8.35</v>
      </c>
      <c r="D9" s="73" t="s">
        <v>64</v>
      </c>
      <c r="E9" s="74"/>
      <c r="F9" s="75">
        <f>IF(CALCULATOR!A7="","",CALCULATOR!B7)</f>
        <v>7.85</v>
      </c>
      <c r="G9" s="68" t="s">
        <v>64</v>
      </c>
      <c r="H9" s="66"/>
      <c r="I9" s="67">
        <f>IF(CALCULATOR!A8="","",CALCULATOR!B8)</f>
        <v>8.15</v>
      </c>
      <c r="J9" s="80" t="s">
        <v>64</v>
      </c>
      <c r="K9" s="81"/>
      <c r="L9" s="82" t="str">
        <f>IF(CALCULATOR!A9="","",CALCULATOR!B9)</f>
        <v/>
      </c>
    </row>
    <row r="10" spans="1:12" x14ac:dyDescent="0.25">
      <c r="A10" s="68" t="s">
        <v>65</v>
      </c>
      <c r="B10" s="66"/>
      <c r="C10" s="69" t="str">
        <f>IF(CALCULATOR!A6="","",CALCULATOR!E6)</f>
        <v>8.35 / 10</v>
      </c>
      <c r="D10" s="73" t="s">
        <v>65</v>
      </c>
      <c r="E10" s="74"/>
      <c r="F10" s="76" t="str">
        <f>IF(CALCULATOR!A7="","",CALCULATOR!E7)</f>
        <v>7.85 / 10</v>
      </c>
      <c r="G10" s="68" t="s">
        <v>65</v>
      </c>
      <c r="H10" s="66"/>
      <c r="I10" s="69" t="str">
        <f>IF(CALCULATOR!A8="","",CALCULATOR!E8)</f>
        <v>8.15 / 10</v>
      </c>
      <c r="J10" s="80" t="s">
        <v>65</v>
      </c>
      <c r="K10" s="81"/>
      <c r="L10" s="83" t="str">
        <f>IF(CALCULATOR!A9="","",CALCULATOR!E9)</f>
        <v/>
      </c>
    </row>
    <row r="11" spans="1:12" x14ac:dyDescent="0.25">
      <c r="A11" s="68" t="s">
        <v>51</v>
      </c>
      <c r="B11" s="66"/>
      <c r="C11" s="70">
        <f>IF(CALCULATOR!A6="","",CALCULATOR!C6)</f>
        <v>0.83499999999999996</v>
      </c>
      <c r="D11" s="73" t="s">
        <v>51</v>
      </c>
      <c r="E11" s="74"/>
      <c r="F11" s="77">
        <f>IF(CALCULATOR!A7="","",CALCULATOR!C7)</f>
        <v>0.78499999999999992</v>
      </c>
      <c r="G11" s="68" t="s">
        <v>51</v>
      </c>
      <c r="H11" s="66"/>
      <c r="I11" s="70">
        <f>IF(CALCULATOR!A8="","",CALCULATOR!C8)</f>
        <v>0.81500000000000006</v>
      </c>
      <c r="J11" s="80" t="s">
        <v>51</v>
      </c>
      <c r="K11" s="81"/>
      <c r="L11" s="84" t="str">
        <f>IF(CALCULATOR!A9="","",CALCULATOR!C9)</f>
        <v/>
      </c>
    </row>
    <row r="12" spans="1:12" x14ac:dyDescent="0.25">
      <c r="A12" s="68" t="s">
        <v>52</v>
      </c>
      <c r="B12" s="66"/>
      <c r="C12" s="71">
        <f>IF(CALCULATOR!A6="","",CALCULATOR!D6)</f>
        <v>1</v>
      </c>
      <c r="D12" s="73" t="s">
        <v>52</v>
      </c>
      <c r="E12" s="74"/>
      <c r="F12" s="78">
        <f>IF(CALCULATOR!A7="","",CALCULATOR!D7)</f>
        <v>3</v>
      </c>
      <c r="G12" s="68" t="s">
        <v>52</v>
      </c>
      <c r="H12" s="66"/>
      <c r="I12" s="71">
        <f>IF(CALCULATOR!A8="","",CALCULATOR!D8)</f>
        <v>2</v>
      </c>
      <c r="J12" s="80" t="s">
        <v>52</v>
      </c>
      <c r="K12" s="81"/>
      <c r="L12" s="85" t="str">
        <f>IF(CALCULATOR!A9="","",CALCULATOR!D9)</f>
        <v/>
      </c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5.75" x14ac:dyDescent="0.25">
      <c r="A15" s="54" t="s">
        <v>69</v>
      </c>
      <c r="B15" s="54"/>
      <c r="C15" s="54"/>
      <c r="D15" s="54"/>
      <c r="E15" s="54"/>
      <c r="F15" s="54"/>
      <c r="G15" s="4"/>
      <c r="H15" s="4"/>
      <c r="I15" s="4"/>
      <c r="J15" s="4"/>
      <c r="K15" s="4"/>
      <c r="L15" s="4"/>
    </row>
    <row r="16" spans="1:12" x14ac:dyDescent="0.25">
      <c r="A16" s="13" t="s">
        <v>70</v>
      </c>
      <c r="B16" s="13" t="s">
        <v>46</v>
      </c>
      <c r="C16" s="13" t="str">
        <f>IF(INPUT!B10="","Option 1",INPUT!B10)</f>
        <v>lenovo</v>
      </c>
      <c r="D16" s="13" t="str">
        <f>IF(INPUT!C10="","Option 2",INPUT!C10)</f>
        <v>HP</v>
      </c>
      <c r="E16" s="13" t="str">
        <f>IF(INPUT!D10="","Option 3",INPUT!D10)</f>
        <v>ASUS</v>
      </c>
      <c r="F16" s="13" t="str">
        <f>IF(INPUT!E10="","Option 4",INPUT!E10)</f>
        <v>Option 4</v>
      </c>
      <c r="G16" s="4"/>
      <c r="H16" s="4"/>
      <c r="I16" s="4"/>
      <c r="J16" s="4"/>
      <c r="K16" s="4"/>
      <c r="L16" s="4"/>
    </row>
    <row r="17" spans="1:12" x14ac:dyDescent="0.25">
      <c r="A17" s="9" t="str">
        <f>IF(INPUT!A15="","",INPUT!A15)</f>
        <v>Price</v>
      </c>
      <c r="B17" s="26">
        <f>IF(A17="","",INPUT!B15)</f>
        <v>0.25</v>
      </c>
      <c r="C17" s="23">
        <f>IF(OR(A17="",INPUT!B10=""),"",INPUT!B28)</f>
        <v>8</v>
      </c>
      <c r="D17" s="23">
        <f>IF(OR(A17="",INPUT!C10=""),"",INPUT!C28)</f>
        <v>9</v>
      </c>
      <c r="E17" s="23">
        <f>IF(OR(A17="",INPUT!D10=""),"",INPUT!D28)</f>
        <v>7</v>
      </c>
      <c r="F17" s="23" t="str">
        <f>IF(OR(A17="",INPUT!E10=""),"",INPUT!E28)</f>
        <v/>
      </c>
      <c r="G17" s="4"/>
      <c r="H17" s="4"/>
      <c r="I17" s="4"/>
      <c r="J17" s="4"/>
      <c r="K17" s="4"/>
      <c r="L17" s="4"/>
    </row>
    <row r="18" spans="1:12" x14ac:dyDescent="0.25">
      <c r="A18" s="9" t="str">
        <f>IF(INPUT!A16="","",INPUT!A16)</f>
        <v>Performance</v>
      </c>
      <c r="B18" s="26">
        <f>IF(A18="","",INPUT!B16)</f>
        <v>0.3</v>
      </c>
      <c r="C18" s="23">
        <f>IF(OR(A18="",INPUT!B10=""),"",INPUT!B29)</f>
        <v>9</v>
      </c>
      <c r="D18" s="23">
        <f>IF(OR(A18="",INPUT!C10=""),"",INPUT!C29)</f>
        <v>7</v>
      </c>
      <c r="E18" s="23">
        <f>IF(OR(A18="",INPUT!D10=""),"",INPUT!D29)</f>
        <v>10</v>
      </c>
      <c r="F18" s="23" t="str">
        <f>IF(OR(A18="",INPUT!E10=""),"",INPUT!E29)</f>
        <v/>
      </c>
      <c r="G18" s="4"/>
      <c r="H18" s="4"/>
      <c r="I18" s="4"/>
      <c r="J18" s="4"/>
      <c r="K18" s="4"/>
      <c r="L18" s="4"/>
    </row>
    <row r="19" spans="1:12" x14ac:dyDescent="0.25">
      <c r="A19" s="9" t="str">
        <f>IF(INPUT!A17="","",INPUT!A17)</f>
        <v>Battery</v>
      </c>
      <c r="B19" s="26">
        <f>IF(A19="","",INPUT!B17)</f>
        <v>0.1</v>
      </c>
      <c r="C19" s="23">
        <f>IF(OR(A19="",INPUT!B10=""),"",INPUT!B30)</f>
        <v>7</v>
      </c>
      <c r="D19" s="23">
        <f>IF(OR(A19="",INPUT!C10=""),"",INPUT!C30)</f>
        <v>9</v>
      </c>
      <c r="E19" s="23">
        <f>IF(OR(A19="",INPUT!D10=""),"",INPUT!D30)</f>
        <v>6</v>
      </c>
      <c r="F19" s="23" t="str">
        <f>IF(OR(A19="",INPUT!E10=""),"",INPUT!E30)</f>
        <v/>
      </c>
      <c r="G19" s="4"/>
      <c r="H19" s="4"/>
      <c r="I19" s="4"/>
      <c r="J19" s="4"/>
      <c r="K19" s="4"/>
      <c r="L19" s="4"/>
    </row>
    <row r="20" spans="1:12" x14ac:dyDescent="0.25">
      <c r="A20" s="9" t="str">
        <f>IF(INPUT!A18="","",INPUT!A18)</f>
        <v>Display</v>
      </c>
      <c r="B20" s="26">
        <f>IF(A20="","",INPUT!B18)</f>
        <v>0.1</v>
      </c>
      <c r="C20" s="23">
        <f>IF(OR(A20="",INPUT!B10=""),"",INPUT!B31)</f>
        <v>8</v>
      </c>
      <c r="D20" s="23">
        <f>IF(OR(A20="",INPUT!C10=""),"",INPUT!C31)</f>
        <v>8</v>
      </c>
      <c r="E20" s="23">
        <f>IF(OR(A20="",INPUT!D10=""),"",INPUT!D31)</f>
        <v>9</v>
      </c>
      <c r="F20" s="23" t="str">
        <f>IF(OR(A20="",INPUT!E10=""),"",INPUT!E31)</f>
        <v/>
      </c>
      <c r="G20" s="4"/>
      <c r="H20" s="4"/>
      <c r="I20" s="4"/>
      <c r="J20" s="4"/>
      <c r="K20" s="4"/>
      <c r="L20" s="4"/>
    </row>
    <row r="21" spans="1:12" x14ac:dyDescent="0.25">
      <c r="A21" s="9" t="str">
        <f>IF(INPUT!A19="","",INPUT!A19)</f>
        <v>Upgradeability</v>
      </c>
      <c r="B21" s="26">
        <f>IF(A21="","",INPUT!B19)</f>
        <v>0.15</v>
      </c>
      <c r="C21" s="23">
        <f>IF(OR(A21="",INPUT!B10=""),"",INPUT!B32)</f>
        <v>9</v>
      </c>
      <c r="D21" s="23">
        <f>IF(OR(A21="",INPUT!C10=""),"",INPUT!C32)</f>
        <v>6</v>
      </c>
      <c r="E21" s="23">
        <f>IF(OR(A21="",INPUT!D10=""),"",INPUT!D32)</f>
        <v>8</v>
      </c>
      <c r="F21" s="23" t="str">
        <f>IF(OR(A21="",INPUT!E10=""),"",INPUT!E32)</f>
        <v/>
      </c>
      <c r="G21" s="4"/>
      <c r="H21" s="4"/>
      <c r="I21" s="4"/>
      <c r="J21" s="4"/>
      <c r="K21" s="4"/>
      <c r="L21" s="4"/>
    </row>
    <row r="22" spans="1:12" x14ac:dyDescent="0.25">
      <c r="A22" s="9" t="str">
        <f>IF(INPUT!A20="","",INPUT!A20)</f>
        <v>Warranty</v>
      </c>
      <c r="B22" s="26">
        <f>IF(A22="","",INPUT!B20)</f>
        <v>0.1</v>
      </c>
      <c r="C22" s="23">
        <f>IF(OR(A22="",INPUT!B10=""),"",INPUT!B33)</f>
        <v>8</v>
      </c>
      <c r="D22" s="23">
        <f>IF(OR(A22="",INPUT!C10=""),"",INPUT!C33)</f>
        <v>9</v>
      </c>
      <c r="E22" s="23">
        <f>IF(OR(A22="",INPUT!D10=""),"",INPUT!D33)</f>
        <v>7</v>
      </c>
      <c r="F22" s="23" t="str">
        <f>IF(OR(A22="",INPUT!E10=""),"",INPUT!E33)</f>
        <v/>
      </c>
      <c r="G22" s="4"/>
      <c r="H22" s="4"/>
      <c r="I22" s="4"/>
      <c r="J22" s="4"/>
      <c r="K22" s="4"/>
      <c r="L22" s="4"/>
    </row>
    <row r="23" spans="1:12" x14ac:dyDescent="0.25">
      <c r="A23" s="9" t="str">
        <f>IF(INPUT!A21="","",INPUT!A21)</f>
        <v/>
      </c>
      <c r="B23" s="26" t="str">
        <f>IF(A23="","",INPUT!B21)</f>
        <v/>
      </c>
      <c r="C23" s="23" t="str">
        <f>IF(OR(A23="",INPUT!B10=""),"",INPUT!B34)</f>
        <v/>
      </c>
      <c r="D23" s="23" t="str">
        <f>IF(OR(A23="",INPUT!C10=""),"",INPUT!C34)</f>
        <v/>
      </c>
      <c r="E23" s="23" t="str">
        <f>IF(OR(A23="",INPUT!D10=""),"",INPUT!D34)</f>
        <v/>
      </c>
      <c r="F23" s="23" t="str">
        <f>IF(OR(A23="",INPUT!E10=""),"",INPUT!E34)</f>
        <v/>
      </c>
      <c r="G23" s="4"/>
      <c r="H23" s="4"/>
      <c r="I23" s="4"/>
      <c r="J23" s="4"/>
      <c r="K23" s="4"/>
      <c r="L23" s="4"/>
    </row>
    <row r="24" spans="1:12" x14ac:dyDescent="0.25">
      <c r="A24" s="9" t="str">
        <f>IF(INPUT!A22="","",INPUT!A22)</f>
        <v/>
      </c>
      <c r="B24" s="26" t="str">
        <f>IF(A24="","",INPUT!B22)</f>
        <v/>
      </c>
      <c r="C24" s="23" t="str">
        <f>IF(OR(A24="",INPUT!B10=""),"",INPUT!B35)</f>
        <v/>
      </c>
      <c r="D24" s="23" t="str">
        <f>IF(OR(A24="",INPUT!C10=""),"",INPUT!C35)</f>
        <v/>
      </c>
      <c r="E24" s="23" t="str">
        <f>IF(OR(A24="",INPUT!D10=""),"",INPUT!D35)</f>
        <v/>
      </c>
      <c r="F24" s="23" t="str">
        <f>IF(OR(A24="",INPUT!E10=""),"",INPUT!E35)</f>
        <v/>
      </c>
      <c r="G24" s="4"/>
      <c r="H24" s="4"/>
      <c r="I24" s="4"/>
      <c r="J24" s="4"/>
      <c r="K24" s="4"/>
      <c r="L24" s="4"/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.75" x14ac:dyDescent="0.25">
      <c r="A26" s="54" t="s">
        <v>71</v>
      </c>
      <c r="B26" s="54"/>
      <c r="C26" s="54"/>
      <c r="D26" s="54"/>
      <c r="E26" s="54"/>
      <c r="F26" s="54"/>
      <c r="G26" s="4"/>
      <c r="H26" s="4"/>
      <c r="I26" s="4"/>
      <c r="J26" s="4"/>
      <c r="K26" s="4"/>
      <c r="L26" s="4"/>
    </row>
    <row r="27" spans="1:12" x14ac:dyDescent="0.25">
      <c r="A27" s="31" t="s">
        <v>27</v>
      </c>
      <c r="B27" s="31" t="s">
        <v>46</v>
      </c>
      <c r="C27" s="31" t="str">
        <f>C16</f>
        <v>lenovo</v>
      </c>
      <c r="D27" s="31" t="str">
        <f>D16</f>
        <v>HP</v>
      </c>
      <c r="E27" s="31" t="str">
        <f>E16</f>
        <v>ASUS</v>
      </c>
      <c r="F27" s="31" t="str">
        <f>F16</f>
        <v>Option 4</v>
      </c>
      <c r="G27" s="4"/>
      <c r="H27" s="4"/>
      <c r="I27" s="4"/>
      <c r="J27" s="4"/>
      <c r="K27" s="4"/>
      <c r="L27" s="4"/>
    </row>
    <row r="28" spans="1:12" x14ac:dyDescent="0.25">
      <c r="A28" s="9" t="str">
        <f>CALCULATOR!A15</f>
        <v>Price</v>
      </c>
      <c r="B28" s="26">
        <f>IF(A28="","",CALCULATOR!B15)</f>
        <v>0.25</v>
      </c>
      <c r="C28" s="27">
        <f>IF(A28="","",CALCULATOR!C15)</f>
        <v>2</v>
      </c>
      <c r="D28" s="27">
        <f>IF(A28="","",CALCULATOR!D15)</f>
        <v>2.25</v>
      </c>
      <c r="E28" s="27">
        <f>IF(A28="","",CALCULATOR!E15)</f>
        <v>1.75</v>
      </c>
      <c r="F28" s="27" t="str">
        <f>IF(A28="","",CALCULATOR!F15)</f>
        <v/>
      </c>
      <c r="G28" s="4"/>
      <c r="H28" s="4"/>
      <c r="I28" s="4"/>
      <c r="J28" s="4"/>
      <c r="K28" s="4"/>
      <c r="L28" s="4"/>
    </row>
    <row r="29" spans="1:12" x14ac:dyDescent="0.25">
      <c r="A29" s="9" t="str">
        <f>CALCULATOR!A16</f>
        <v>Performance</v>
      </c>
      <c r="B29" s="26">
        <f>IF(A29="","",CALCULATOR!B16)</f>
        <v>0.3</v>
      </c>
      <c r="C29" s="27">
        <f>IF(A29="","",CALCULATOR!C16)</f>
        <v>2.6999999999999997</v>
      </c>
      <c r="D29" s="27">
        <f>IF(A29="","",CALCULATOR!D16)</f>
        <v>2.1</v>
      </c>
      <c r="E29" s="27">
        <f>IF(A29="","",CALCULATOR!E16)</f>
        <v>3</v>
      </c>
      <c r="F29" s="27" t="str">
        <f>IF(A29="","",CALCULATOR!F16)</f>
        <v/>
      </c>
      <c r="G29" s="4"/>
      <c r="H29" s="4"/>
      <c r="I29" s="4"/>
      <c r="J29" s="4"/>
      <c r="K29" s="4"/>
      <c r="L29" s="4"/>
    </row>
    <row r="30" spans="1:12" x14ac:dyDescent="0.25">
      <c r="A30" s="9" t="str">
        <f>CALCULATOR!A17</f>
        <v>Battery</v>
      </c>
      <c r="B30" s="26">
        <f>IF(A30="","",CALCULATOR!B17)</f>
        <v>0.1</v>
      </c>
      <c r="C30" s="27">
        <f>IF(A30="","",CALCULATOR!C17)</f>
        <v>0.70000000000000007</v>
      </c>
      <c r="D30" s="27">
        <f>IF(A30="","",CALCULATOR!D17)</f>
        <v>0.9</v>
      </c>
      <c r="E30" s="27">
        <f>IF(A30="","",CALCULATOR!E17)</f>
        <v>0.60000000000000009</v>
      </c>
      <c r="F30" s="27" t="str">
        <f>IF(A30="","",CALCULATOR!F17)</f>
        <v/>
      </c>
      <c r="G30" s="4"/>
      <c r="H30" s="4"/>
      <c r="I30" s="4"/>
      <c r="J30" s="4"/>
      <c r="K30" s="4"/>
      <c r="L30" s="4"/>
    </row>
    <row r="31" spans="1:12" x14ac:dyDescent="0.25">
      <c r="A31" s="9" t="str">
        <f>CALCULATOR!A18</f>
        <v>Display</v>
      </c>
      <c r="B31" s="26">
        <f>IF(A31="","",CALCULATOR!B18)</f>
        <v>0.1</v>
      </c>
      <c r="C31" s="27">
        <f>IF(A31="","",CALCULATOR!C18)</f>
        <v>0.8</v>
      </c>
      <c r="D31" s="27">
        <f>IF(A31="","",CALCULATOR!D18)</f>
        <v>0.8</v>
      </c>
      <c r="E31" s="27">
        <f>IF(A31="","",CALCULATOR!E18)</f>
        <v>0.9</v>
      </c>
      <c r="F31" s="27" t="str">
        <f>IF(A31="","",CALCULATOR!F18)</f>
        <v/>
      </c>
      <c r="G31" s="4"/>
      <c r="H31" s="4"/>
      <c r="I31" s="4"/>
      <c r="J31" s="4"/>
      <c r="K31" s="4"/>
      <c r="L31" s="4"/>
    </row>
    <row r="32" spans="1:12" x14ac:dyDescent="0.25">
      <c r="A32" s="9" t="str">
        <f>CALCULATOR!A19</f>
        <v>Upgradeability</v>
      </c>
      <c r="B32" s="26">
        <f>IF(A32="","",CALCULATOR!B19)</f>
        <v>0.15</v>
      </c>
      <c r="C32" s="27">
        <f>IF(A32="","",CALCULATOR!C19)</f>
        <v>1.3499999999999999</v>
      </c>
      <c r="D32" s="27">
        <f>IF(A32="","",CALCULATOR!D19)</f>
        <v>0.89999999999999991</v>
      </c>
      <c r="E32" s="27">
        <f>IF(A32="","",CALCULATOR!E19)</f>
        <v>1.2</v>
      </c>
      <c r="F32" s="27" t="str">
        <f>IF(A32="","",CALCULATOR!F19)</f>
        <v/>
      </c>
      <c r="G32" s="4"/>
      <c r="H32" s="4"/>
      <c r="I32" s="4"/>
      <c r="J32" s="4"/>
      <c r="K32" s="4"/>
      <c r="L32" s="4"/>
    </row>
    <row r="33" spans="1:12" x14ac:dyDescent="0.25">
      <c r="A33" s="9" t="str">
        <f>CALCULATOR!A20</f>
        <v>Warranty</v>
      </c>
      <c r="B33" s="26">
        <f>IF(A33="","",CALCULATOR!B20)</f>
        <v>0.1</v>
      </c>
      <c r="C33" s="27">
        <f>IF(A33="","",CALCULATOR!C20)</f>
        <v>0.8</v>
      </c>
      <c r="D33" s="27">
        <f>IF(A33="","",CALCULATOR!D20)</f>
        <v>0.9</v>
      </c>
      <c r="E33" s="27">
        <f>IF(A33="","",CALCULATOR!E20)</f>
        <v>0.70000000000000007</v>
      </c>
      <c r="F33" s="27" t="str">
        <f>IF(A33="","",CALCULATOR!F20)</f>
        <v/>
      </c>
      <c r="G33" s="4"/>
      <c r="H33" s="4"/>
      <c r="I33" s="4"/>
      <c r="J33" s="4"/>
      <c r="K33" s="4"/>
      <c r="L33" s="4"/>
    </row>
    <row r="34" spans="1:12" x14ac:dyDescent="0.25">
      <c r="A34" s="9" t="str">
        <f>CALCULATOR!A21</f>
        <v/>
      </c>
      <c r="B34" s="26" t="str">
        <f>IF(A34="","",CALCULATOR!B21)</f>
        <v/>
      </c>
      <c r="C34" s="27" t="str">
        <f>IF(A34="","",CALCULATOR!C21)</f>
        <v/>
      </c>
      <c r="D34" s="27" t="str">
        <f>IF(A34="","",CALCULATOR!D21)</f>
        <v/>
      </c>
      <c r="E34" s="27" t="str">
        <f>IF(A34="","",CALCULATOR!E21)</f>
        <v/>
      </c>
      <c r="F34" s="27" t="str">
        <f>IF(A34="","",CALCULATOR!F21)</f>
        <v/>
      </c>
      <c r="G34" s="4"/>
      <c r="H34" s="4"/>
      <c r="I34" s="4"/>
      <c r="J34" s="4"/>
      <c r="K34" s="4"/>
      <c r="L34" s="4"/>
    </row>
    <row r="35" spans="1:12" x14ac:dyDescent="0.25">
      <c r="A35" s="9" t="str">
        <f>CALCULATOR!A22</f>
        <v/>
      </c>
      <c r="B35" s="26" t="str">
        <f>IF(A35="","",CALCULATOR!B22)</f>
        <v/>
      </c>
      <c r="C35" s="27" t="str">
        <f>IF(A35="","",CALCULATOR!C22)</f>
        <v/>
      </c>
      <c r="D35" s="27" t="str">
        <f>IF(A35="","",CALCULATOR!D22)</f>
        <v/>
      </c>
      <c r="E35" s="27" t="str">
        <f>IF(A35="","",CALCULATOR!E22)</f>
        <v/>
      </c>
      <c r="F35" s="27" t="str">
        <f>IF(A35="","",CALCULATOR!F22)</f>
        <v/>
      </c>
      <c r="G35" s="4"/>
      <c r="H35" s="4"/>
      <c r="I35" s="4"/>
      <c r="J35" s="4"/>
      <c r="K35" s="4"/>
      <c r="L35" s="4"/>
    </row>
    <row r="36" spans="1:12" x14ac:dyDescent="0.25">
      <c r="A36" s="56" t="s">
        <v>104</v>
      </c>
      <c r="B36" s="56"/>
      <c r="C36" s="56"/>
      <c r="D36" s="56"/>
      <c r="E36" s="56"/>
      <c r="F36" s="56"/>
      <c r="G36" s="4"/>
      <c r="H36" s="4"/>
      <c r="I36" s="4"/>
      <c r="J36" s="4"/>
      <c r="K36" s="4"/>
      <c r="L36" s="4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5.75" x14ac:dyDescent="0.25">
      <c r="A38" s="54" t="s">
        <v>72</v>
      </c>
      <c r="B38" s="54"/>
      <c r="C38" s="54"/>
      <c r="D38" s="54"/>
      <c r="E38" s="54"/>
      <c r="F38" s="54"/>
      <c r="G38" s="54"/>
      <c r="H38" s="4"/>
      <c r="I38" s="4"/>
      <c r="J38" s="4"/>
      <c r="K38" s="4"/>
      <c r="L38" s="4"/>
    </row>
    <row r="39" spans="1:12" x14ac:dyDescent="0.25">
      <c r="A39" s="87" t="s">
        <v>113</v>
      </c>
      <c r="B39" s="86"/>
      <c r="C39" s="86"/>
      <c r="D39" s="86"/>
      <c r="E39" s="86"/>
      <c r="F39" s="86"/>
      <c r="G39" s="86"/>
      <c r="H39" s="4"/>
      <c r="I39" s="4"/>
      <c r="J39" s="4"/>
      <c r="K39" s="4"/>
      <c r="L39" s="4"/>
    </row>
    <row r="40" spans="1:12" x14ac:dyDescent="0.25">
      <c r="A40" s="86"/>
      <c r="B40" s="86"/>
      <c r="C40" s="86"/>
      <c r="D40" s="86"/>
      <c r="E40" s="86"/>
      <c r="F40" s="86"/>
      <c r="G40" s="86"/>
      <c r="H40" s="4"/>
      <c r="I40" s="4"/>
      <c r="J40" s="4"/>
      <c r="K40" s="4"/>
      <c r="L40" s="4"/>
    </row>
    <row r="41" spans="1:12" x14ac:dyDescent="0.25">
      <c r="A41" s="31" t="s">
        <v>73</v>
      </c>
      <c r="B41" s="31" t="s">
        <v>74</v>
      </c>
      <c r="C41" s="31" t="str">
        <f>IF(CALCULATOR!I26="","Option 1",CALCULATOR!I26)</f>
        <v>lenovo</v>
      </c>
      <c r="D41" s="31" t="str">
        <f>IF(CALCULATOR!I27="","Option 2",CALCULATOR!I27)</f>
        <v>HP</v>
      </c>
      <c r="E41" s="31" t="str">
        <f>IF(CALCULATOR!I28="","Option 3",CALCULATOR!I28)</f>
        <v>ASUS</v>
      </c>
      <c r="F41" s="31" t="str">
        <f>IF(CALCULATOR!I29="","Option 4",CALCULATOR!I29)</f>
        <v>Option 4</v>
      </c>
      <c r="G41" s="31" t="s">
        <v>75</v>
      </c>
      <c r="H41" s="4"/>
      <c r="I41" s="4"/>
      <c r="J41" s="4"/>
      <c r="K41" s="4"/>
      <c r="L41" s="4"/>
    </row>
    <row r="42" spans="1:12" x14ac:dyDescent="0.25">
      <c r="A42" s="19" t="s">
        <v>76</v>
      </c>
      <c r="B42" s="4" t="s">
        <v>77</v>
      </c>
      <c r="C42" s="27">
        <f>IF(CALCULATOR!A6="","",CALCULATOR!B6)</f>
        <v>8.35</v>
      </c>
      <c r="D42" s="27">
        <f>IF(CALCULATOR!A7="","",CALCULATOR!B7)</f>
        <v>7.85</v>
      </c>
      <c r="E42" s="27">
        <f>IF(CALCULATOR!A8="","",CALCULATOR!B8)</f>
        <v>8.15</v>
      </c>
      <c r="F42" s="27" t="str">
        <f>IF(CALCULATOR!A9="","",CALCULATOR!B9)</f>
        <v/>
      </c>
      <c r="G42" s="25" t="str">
        <f>IF(COUNT(C42:F42)=0,"",INDEX(C$41:F$41,MATCH(MAX(C42:F42),C42:F42,0)))</f>
        <v>lenovo</v>
      </c>
      <c r="H42" s="4"/>
      <c r="I42" s="4"/>
      <c r="J42" s="4"/>
      <c r="K42" s="4"/>
      <c r="L42" s="4"/>
    </row>
    <row r="43" spans="1:12" x14ac:dyDescent="0.25">
      <c r="A43" s="19" t="s">
        <v>28</v>
      </c>
      <c r="B43" s="4" t="s">
        <v>105</v>
      </c>
      <c r="C43" s="27">
        <f>CALCULATOR!J26</f>
        <v>8.15</v>
      </c>
      <c r="D43" s="27">
        <f>CALCULATOR!J27</f>
        <v>8.3500000000000014</v>
      </c>
      <c r="E43" s="27">
        <f>CALCULATOR!J28</f>
        <v>7.55</v>
      </c>
      <c r="F43" s="27" t="str">
        <f>CALCULATOR!J29</f>
        <v/>
      </c>
      <c r="G43" s="25" t="str">
        <f>IF(COUNT(C43:F43)=0,"",INDEX(C$41:F$41,MATCH(MAX(C43:F43),C43:F43,0)))</f>
        <v>HP</v>
      </c>
      <c r="H43" s="4"/>
      <c r="I43" s="4"/>
      <c r="J43" s="4"/>
      <c r="K43" s="4"/>
      <c r="L43" s="4"/>
    </row>
    <row r="44" spans="1:12" x14ac:dyDescent="0.25">
      <c r="A44" s="19" t="s">
        <v>29</v>
      </c>
      <c r="B44" s="4" t="s">
        <v>106</v>
      </c>
      <c r="C44" s="27">
        <f>CALCULATOR!K26</f>
        <v>8.5</v>
      </c>
      <c r="D44" s="27">
        <f>CALCULATOR!K27</f>
        <v>7.5000000000000009</v>
      </c>
      <c r="E44" s="27">
        <f>CALCULATOR!K28</f>
        <v>8.6999999999999993</v>
      </c>
      <c r="F44" s="27" t="str">
        <f>CALCULATOR!K29</f>
        <v/>
      </c>
      <c r="G44" s="25" t="str">
        <f>IF(COUNT(C44:F44)=0,"",INDEX(C$41:F$41,MATCH(MAX(C44:F44),C44:F44,0)))</f>
        <v>ASUS</v>
      </c>
      <c r="H44" s="4"/>
      <c r="I44" s="4"/>
      <c r="J44" s="4"/>
      <c r="K44" s="4"/>
      <c r="L44" s="4"/>
    </row>
    <row r="45" spans="1:12" x14ac:dyDescent="0.25">
      <c r="A45" s="19" t="s">
        <v>30</v>
      </c>
      <c r="B45" s="4" t="s">
        <v>107</v>
      </c>
      <c r="C45" s="27">
        <f>CALCULATOR!L26</f>
        <v>8.25</v>
      </c>
      <c r="D45" s="27">
        <f>CALCULATOR!L27</f>
        <v>7.8999999999999986</v>
      </c>
      <c r="E45" s="27">
        <f>CALCULATOR!L28</f>
        <v>7.65</v>
      </c>
      <c r="F45" s="27" t="str">
        <f>CALCULATOR!L29</f>
        <v/>
      </c>
      <c r="G45" s="25" t="str">
        <f>IF(COUNT(C45:F45)=0,"",INDEX(C$41:F$41,MATCH(MAX(C45:F45),C45:F45,0)))</f>
        <v>lenovo</v>
      </c>
      <c r="H45" s="4"/>
      <c r="I45" s="4"/>
      <c r="J45" s="4"/>
      <c r="K45" s="4"/>
      <c r="L45" s="4"/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5">
      <c r="A47" s="10" t="str">
        <f>HYPERLINK("#INPUT!A1","← Edit inputs")</f>
        <v>← Edit inputs</v>
      </c>
      <c r="B47" s="4"/>
      <c r="C47" s="10" t="str">
        <f>HYPERLINK("#HOME!A1","Home")</f>
        <v>Home</v>
      </c>
      <c r="D47" s="4"/>
      <c r="E47" s="10" t="str">
        <f>HYPERLINK("#SETTINGS!A1","Settings")</f>
        <v>Settings</v>
      </c>
      <c r="F47" s="4"/>
      <c r="G47" s="4"/>
      <c r="H47" s="4"/>
      <c r="I47" s="4"/>
      <c r="J47" s="4"/>
      <c r="K47" s="4"/>
      <c r="L47" s="4"/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</sheetData>
  <mergeCells count="16">
    <mergeCell ref="J8:L8"/>
    <mergeCell ref="A15:F15"/>
    <mergeCell ref="A26:F26"/>
    <mergeCell ref="A36:F36"/>
    <mergeCell ref="A38:G38"/>
    <mergeCell ref="A39:G40"/>
    <mergeCell ref="A1:L2"/>
    <mergeCell ref="B4:H4"/>
    <mergeCell ref="A6:H6"/>
    <mergeCell ref="A7:C7"/>
    <mergeCell ref="A8:C8"/>
    <mergeCell ref="D7:F7"/>
    <mergeCell ref="D8:F8"/>
    <mergeCell ref="G7:I7"/>
    <mergeCell ref="G8:I8"/>
    <mergeCell ref="J7:L7"/>
  </mergeCells>
  <conditionalFormatting sqref="C17:F24">
    <cfRule type="colorScale" priority="1">
      <colorScale>
        <cfvo type="min"/>
        <cfvo type="percentile" val="50"/>
        <cfvo type="max"/>
        <color rgb="FFF4C7C3"/>
        <color rgb="FFFFF2CC"/>
        <color rgb="FFB7E1CD"/>
      </colorScale>
    </cfRule>
  </conditionalFormatting>
  <conditionalFormatting sqref="C17:F2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{6A2CE5C7-0C37-497C-81A9-0A9E6BB0107E}</x14:id>
        </ext>
      </extLst>
    </cfRule>
  </conditionalFormatting>
  <conditionalFormatting sqref="C9">
    <cfRule type="expression" dxfId="0" priority="3">
      <formula>AND(C12&lt;&gt;"",C12=1)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A2CE5C7-0C37-497C-81A9-0A9E6BB0107E}">
            <x14:dataBar minLength="0" maxLength="100" negativeBarColorSameAsPositive="1" axisPosition="none">
              <x14:cfvo type="min"/>
              <x14:cfvo type="max"/>
            </x14:dataBar>
          </x14:cfRule>
          <xm:sqref>C17:F24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141D5-CD69-4603-8A3B-395F0F5ED5AD}">
  <sheetPr>
    <tabColor rgb="FF1B365D"/>
  </sheetPr>
  <dimension ref="A1:L60"/>
  <sheetViews>
    <sheetView showGridLines="0" workbookViewId="0">
      <selection activeCell="I17" sqref="I17"/>
    </sheetView>
  </sheetViews>
  <sheetFormatPr defaultRowHeight="15" x14ac:dyDescent="0.25"/>
  <cols>
    <col min="1" max="1" width="26.7109375" customWidth="1"/>
    <col min="3" max="3" width="28.5703125" customWidth="1"/>
    <col min="5" max="5" width="57.140625" customWidth="1"/>
    <col min="6" max="8" width="24.7109375" customWidth="1"/>
  </cols>
  <sheetData>
    <row r="1" spans="1:12" ht="18.75" x14ac:dyDescent="0.3">
      <c r="A1" s="33" t="s">
        <v>0</v>
      </c>
      <c r="B1" s="4"/>
      <c r="C1" s="33" t="s">
        <v>11</v>
      </c>
      <c r="D1" s="4"/>
      <c r="E1" s="88" t="s">
        <v>26</v>
      </c>
      <c r="F1" s="88"/>
      <c r="G1" s="88"/>
      <c r="H1" s="88"/>
      <c r="I1" s="4"/>
      <c r="J1" s="4"/>
      <c r="K1" s="4"/>
      <c r="L1" s="4"/>
    </row>
    <row r="2" spans="1:12" x14ac:dyDescent="0.25">
      <c r="A2" s="4" t="s">
        <v>1</v>
      </c>
      <c r="B2" s="4"/>
      <c r="C2" s="4" t="s">
        <v>12</v>
      </c>
      <c r="D2" s="4"/>
      <c r="E2" s="13" t="s">
        <v>27</v>
      </c>
      <c r="F2" s="13" t="s">
        <v>28</v>
      </c>
      <c r="G2" s="13" t="s">
        <v>29</v>
      </c>
      <c r="H2" s="13" t="s">
        <v>30</v>
      </c>
      <c r="I2" s="4"/>
      <c r="J2" s="4"/>
      <c r="K2" s="4"/>
      <c r="L2" s="4"/>
    </row>
    <row r="3" spans="1:12" x14ac:dyDescent="0.25">
      <c r="A3" s="4" t="s">
        <v>2</v>
      </c>
      <c r="B3" s="4"/>
      <c r="C3" s="4" t="s">
        <v>13</v>
      </c>
      <c r="D3" s="4"/>
      <c r="E3" s="4" t="s">
        <v>12</v>
      </c>
      <c r="F3" s="28">
        <v>0.5</v>
      </c>
      <c r="G3" s="28">
        <v>0.1</v>
      </c>
      <c r="H3" s="28">
        <v>0.1</v>
      </c>
      <c r="I3" s="4"/>
      <c r="J3" s="4"/>
      <c r="K3" s="4"/>
      <c r="L3" s="4"/>
    </row>
    <row r="4" spans="1:12" x14ac:dyDescent="0.25">
      <c r="A4" s="4" t="s">
        <v>3</v>
      </c>
      <c r="B4" s="4"/>
      <c r="C4" s="4" t="s">
        <v>14</v>
      </c>
      <c r="D4" s="4"/>
      <c r="E4" s="4" t="s">
        <v>13</v>
      </c>
      <c r="F4" s="28">
        <v>0.15</v>
      </c>
      <c r="G4" s="28">
        <v>0.45</v>
      </c>
      <c r="H4" s="28">
        <v>0.15</v>
      </c>
      <c r="I4" s="4"/>
      <c r="J4" s="4"/>
      <c r="K4" s="4"/>
      <c r="L4" s="4"/>
    </row>
    <row r="5" spans="1:12" x14ac:dyDescent="0.25">
      <c r="A5" s="4" t="s">
        <v>4</v>
      </c>
      <c r="B5" s="4"/>
      <c r="C5" s="4" t="s">
        <v>15</v>
      </c>
      <c r="D5" s="4"/>
      <c r="E5" s="4" t="s">
        <v>14</v>
      </c>
      <c r="F5" s="28">
        <v>0.1</v>
      </c>
      <c r="G5" s="28">
        <v>0.1</v>
      </c>
      <c r="H5" s="28">
        <v>0.15</v>
      </c>
      <c r="I5" s="4"/>
      <c r="J5" s="4"/>
      <c r="K5" s="4"/>
      <c r="L5" s="4"/>
    </row>
    <row r="6" spans="1:12" x14ac:dyDescent="0.25">
      <c r="A6" s="4" t="s">
        <v>5</v>
      </c>
      <c r="B6" s="4"/>
      <c r="C6" s="4" t="s">
        <v>16</v>
      </c>
      <c r="D6" s="4"/>
      <c r="E6" s="4" t="s">
        <v>15</v>
      </c>
      <c r="F6" s="28">
        <v>0.05</v>
      </c>
      <c r="G6" s="28">
        <v>0.15</v>
      </c>
      <c r="H6" s="28">
        <v>0.05</v>
      </c>
      <c r="I6" s="4"/>
      <c r="J6" s="4"/>
      <c r="K6" s="4"/>
      <c r="L6" s="4"/>
    </row>
    <row r="7" spans="1:12" x14ac:dyDescent="0.25">
      <c r="A7" s="4" t="s">
        <v>6</v>
      </c>
      <c r="B7" s="4"/>
      <c r="C7" s="4" t="s">
        <v>17</v>
      </c>
      <c r="D7" s="4"/>
      <c r="E7" s="4" t="s">
        <v>16</v>
      </c>
      <c r="F7" s="28">
        <v>0.1</v>
      </c>
      <c r="G7" s="28">
        <v>0.15</v>
      </c>
      <c r="H7" s="28">
        <v>0.25</v>
      </c>
      <c r="I7" s="4"/>
      <c r="J7" s="4"/>
      <c r="K7" s="4"/>
      <c r="L7" s="4"/>
    </row>
    <row r="8" spans="1:12" x14ac:dyDescent="0.25">
      <c r="A8" s="4" t="s">
        <v>7</v>
      </c>
      <c r="B8" s="4"/>
      <c r="C8" s="4" t="s">
        <v>18</v>
      </c>
      <c r="D8" s="4"/>
      <c r="E8" s="4" t="s">
        <v>17</v>
      </c>
      <c r="F8" s="28">
        <v>0.1</v>
      </c>
      <c r="G8" s="28">
        <v>0.05</v>
      </c>
      <c r="H8" s="28">
        <v>0.3</v>
      </c>
      <c r="I8" s="4"/>
      <c r="J8" s="4"/>
      <c r="K8" s="4"/>
      <c r="L8" s="4"/>
    </row>
    <row r="9" spans="1:12" x14ac:dyDescent="0.25">
      <c r="A9" s="4" t="s">
        <v>8</v>
      </c>
      <c r="B9" s="4"/>
      <c r="C9" s="4" t="s">
        <v>19</v>
      </c>
      <c r="D9" s="4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 t="s">
        <v>9</v>
      </c>
      <c r="B10" s="4"/>
      <c r="C10" s="4" t="s">
        <v>20</v>
      </c>
      <c r="D10" s="4"/>
      <c r="E10" s="6" t="s">
        <v>31</v>
      </c>
      <c r="F10" s="4"/>
      <c r="G10" s="4"/>
      <c r="H10" s="4"/>
      <c r="I10" s="4"/>
      <c r="J10" s="4"/>
      <c r="K10" s="4"/>
      <c r="L10" s="4"/>
    </row>
    <row r="11" spans="1:12" x14ac:dyDescent="0.25">
      <c r="A11" s="4" t="s">
        <v>10</v>
      </c>
      <c r="B11" s="4"/>
      <c r="C11" s="4" t="s">
        <v>21</v>
      </c>
      <c r="D11" s="4"/>
      <c r="E11" s="86" t="s">
        <v>114</v>
      </c>
      <c r="F11" s="89"/>
      <c r="G11" s="89"/>
      <c r="H11" s="89"/>
      <c r="I11" s="4"/>
      <c r="J11" s="4"/>
      <c r="K11" s="4"/>
      <c r="L11" s="4"/>
    </row>
    <row r="12" spans="1:12" x14ac:dyDescent="0.25">
      <c r="A12" s="4"/>
      <c r="B12" s="4"/>
      <c r="C12" s="4" t="s">
        <v>22</v>
      </c>
      <c r="D12" s="4"/>
      <c r="E12" s="89"/>
      <c r="F12" s="89"/>
      <c r="G12" s="89"/>
      <c r="H12" s="89"/>
      <c r="I12" s="4"/>
      <c r="J12" s="4"/>
      <c r="K12" s="4"/>
      <c r="L12" s="4"/>
    </row>
    <row r="13" spans="1:12" x14ac:dyDescent="0.25">
      <c r="A13" s="4"/>
      <c r="B13" s="4"/>
      <c r="C13" s="4" t="s">
        <v>23</v>
      </c>
      <c r="D13" s="4"/>
      <c r="E13" s="6" t="s">
        <v>32</v>
      </c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 t="s">
        <v>24</v>
      </c>
      <c r="D14" s="4"/>
      <c r="E14" s="4" t="s">
        <v>33</v>
      </c>
      <c r="F14" s="34">
        <v>1</v>
      </c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 t="s">
        <v>25</v>
      </c>
      <c r="D15" s="4"/>
      <c r="E15" s="4" t="s">
        <v>34</v>
      </c>
      <c r="F15" s="34">
        <v>10</v>
      </c>
      <c r="G15" s="4"/>
      <c r="H15" s="4"/>
      <c r="I15" s="4"/>
      <c r="J15" s="4"/>
      <c r="K15" s="4"/>
      <c r="L15" s="4"/>
    </row>
    <row r="16" spans="1:12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4"/>
      <c r="C17" s="4"/>
      <c r="D17" s="4"/>
      <c r="E17" s="6" t="s">
        <v>35</v>
      </c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4"/>
      <c r="C18" s="4"/>
      <c r="D18" s="4"/>
      <c r="E18" s="4" t="s">
        <v>36</v>
      </c>
      <c r="F18" s="4" t="s">
        <v>37</v>
      </c>
      <c r="G18" s="4"/>
      <c r="H18" s="4"/>
      <c r="I18" s="4"/>
      <c r="J18" s="4"/>
      <c r="K18" s="4"/>
      <c r="L18" s="4"/>
    </row>
    <row r="19" spans="1:12" x14ac:dyDescent="0.25">
      <c r="A19" s="4"/>
      <c r="B19" s="4"/>
      <c r="C19" s="4"/>
      <c r="D19" s="4"/>
      <c r="E19" s="4" t="s">
        <v>38</v>
      </c>
      <c r="F19" s="4">
        <v>1</v>
      </c>
      <c r="G19" s="4"/>
      <c r="H19" s="4"/>
      <c r="I19" s="4"/>
      <c r="J19" s="4"/>
      <c r="K19" s="4"/>
      <c r="L19" s="4"/>
    </row>
    <row r="20" spans="1:12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</sheetData>
  <mergeCells count="2">
    <mergeCell ref="E1:H1"/>
    <mergeCell ref="E11:H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HOME</vt:lpstr>
      <vt:lpstr>INPUT</vt:lpstr>
      <vt:lpstr>CALCULATOR</vt:lpstr>
      <vt:lpstr>RESULT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kumar</dc:creator>
  <cp:lastModifiedBy>Tushar kumar</cp:lastModifiedBy>
  <dcterms:created xsi:type="dcterms:W3CDTF">2026-10-02T06:14:53Z</dcterms:created>
  <dcterms:modified xsi:type="dcterms:W3CDTF">2026-10-02T06:39:48Z</dcterms:modified>
</cp:coreProperties>
</file>