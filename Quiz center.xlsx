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6f69711755cde1a6/Documents/"/>
    </mc:Choice>
  </mc:AlternateContent>
  <xr:revisionPtr revIDLastSave="1109" documentId="8_{CCDD4F52-3AEB-4A10-8358-7818DE12B5C3}" xr6:coauthVersionLast="47" xr6:coauthVersionMax="47" xr10:uidLastSave="{F277DBDF-73C9-499E-AFD0-37E7BC623230}"/>
  <bookViews>
    <workbookView xWindow="-120" yWindow="-120" windowWidth="29040" windowHeight="15720" xr2:uid="{D3890972-E7CD-4A0E-A9E5-36797DC5D329}"/>
  </bookViews>
  <sheets>
    <sheet name="HOME" sheetId="1" r:id="rId1"/>
    <sheet name="QUIZ" sheetId="2" r:id="rId2"/>
    <sheet name="QUESTION_BANK" sheetId="3" r:id="rId3"/>
    <sheet name="AI QUESTION GENERATOR" sheetId="7" r:id="rId4"/>
    <sheet name="RESULTS" sheetId="4" r:id="rId5"/>
    <sheet name="WEAK TOPIC PRACTICE" sheetId="8" r:id="rId6"/>
    <sheet name="PROGRESS" sheetId="5" r:id="rId7"/>
    <sheet name="SETTINGS" sheetId="6" r:id="rId8"/>
  </sheets>
  <definedNames>
    <definedName name="lstAnswers">SETTINGS!$G$2:$G$5</definedName>
    <definedName name="lstCount">SETTINGS!$E$2:$E$5</definedName>
    <definedName name="lstDifficulty">SETTINGS!$C$2:$C$5</definedName>
    <definedName name="lstGenCount">SETTINGS!$K$2:$K$6</definedName>
    <definedName name="lstGenDifficulty">SETTINGS!$I$2:$I$5</definedName>
    <definedName name="lstGenStyle">SETTINGS!$O$2:$O$5</definedName>
    <definedName name="lstGenType">SETTINGS!$M$2:$M$3</definedName>
    <definedName name="lstSubjects">SETTINGS!$A$2:$A$11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7" l="1" a="1"/>
  <c r="A46" i="7" a="1"/>
  <c r="A45" i="7" a="1"/>
  <c r="A44" i="7" a="1"/>
  <c r="A43" i="7" a="1"/>
  <c r="A42" i="7" a="1"/>
  <c r="A41" i="7" a="1"/>
  <c r="A40" i="7" a="1"/>
  <c r="A39" i="7" a="1"/>
  <c r="A38" i="7" a="1"/>
  <c r="D9" i="7" a="1"/>
  <c r="A17" i="7" s="1" a="1"/>
  <c r="B9" i="7" a="1"/>
  <c r="N51" i="3"/>
  <c r="N52" i="3"/>
  <c r="N53" i="3"/>
  <c r="N54" i="3"/>
  <c r="N55" i="3"/>
  <c r="N56" i="3"/>
  <c r="N57" i="3"/>
  <c r="N58" i="3"/>
  <c r="N59" i="3"/>
  <c r="N60" i="3"/>
  <c r="N2" i="3"/>
  <c r="N3" i="3"/>
  <c r="N4" i="3"/>
  <c r="N5" i="3"/>
  <c r="N6" i="3"/>
  <c r="N7" i="3"/>
  <c r="N8" i="3"/>
  <c r="N9" i="3"/>
  <c r="N10" i="3"/>
  <c r="O10" i="3" s="1"/>
  <c r="N11" i="3"/>
  <c r="O11" i="3" s="1"/>
  <c r="N12" i="3"/>
  <c r="O12" i="3" s="1"/>
  <c r="N13" i="3"/>
  <c r="O13" i="3" s="1"/>
  <c r="N14" i="3"/>
  <c r="O14" i="3" s="1"/>
  <c r="N15" i="3"/>
  <c r="O15" i="3" s="1"/>
  <c r="N16" i="3"/>
  <c r="O16" i="3" s="1"/>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H12" i="5"/>
  <c r="I12" i="5" s="1"/>
  <c r="H11" i="5"/>
  <c r="I11" i="5" s="1"/>
  <c r="H10" i="5"/>
  <c r="I10" i="5" s="1"/>
  <c r="D14" i="5"/>
  <c r="C14" i="5"/>
  <c r="B14" i="5"/>
  <c r="D13" i="5"/>
  <c r="C13" i="5"/>
  <c r="B13" i="5"/>
  <c r="D12" i="5"/>
  <c r="C12" i="5"/>
  <c r="B12" i="5"/>
  <c r="D11" i="5"/>
  <c r="C11" i="5"/>
  <c r="B11" i="5"/>
  <c r="D10" i="5"/>
  <c r="C10" i="5"/>
  <c r="B10" i="5"/>
  <c r="L5" i="5"/>
  <c r="E20" i="5" s="1"/>
  <c r="J5" i="5"/>
  <c r="D5" i="5"/>
  <c r="B5" i="5"/>
  <c r="B61" i="4"/>
  <c r="A61" i="4"/>
  <c r="AA2" i="2"/>
  <c r="D47" i="7" l="1"/>
  <c r="C47" i="7"/>
  <c r="F47" i="7"/>
  <c r="E47" i="7"/>
  <c r="B47" i="7"/>
  <c r="F46" i="7"/>
  <c r="C46" i="7"/>
  <c r="B46" i="7"/>
  <c r="D46" i="7"/>
  <c r="E46" i="7"/>
  <c r="C45" i="7"/>
  <c r="B45" i="7"/>
  <c r="D45" i="7"/>
  <c r="E45" i="7"/>
  <c r="F45" i="7"/>
  <c r="E44" i="7"/>
  <c r="D44" i="7"/>
  <c r="F44" i="7"/>
  <c r="C44" i="7"/>
  <c r="B44" i="7"/>
  <c r="F43" i="7"/>
  <c r="E43" i="7"/>
  <c r="D43" i="7"/>
  <c r="C43" i="7"/>
  <c r="B43" i="7"/>
  <c r="F42" i="7"/>
  <c r="E42" i="7"/>
  <c r="D42" i="7"/>
  <c r="C42" i="7"/>
  <c r="B42" i="7"/>
  <c r="D41" i="7"/>
  <c r="F41" i="7"/>
  <c r="E41" i="7"/>
  <c r="C41" i="7"/>
  <c r="B41" i="7"/>
  <c r="D40" i="7"/>
  <c r="F40" i="7"/>
  <c r="E40" i="7"/>
  <c r="B40" i="7"/>
  <c r="C40" i="7"/>
  <c r="C39" i="7"/>
  <c r="D39" i="7"/>
  <c r="E39" i="7"/>
  <c r="B39" i="7"/>
  <c r="F39" i="7"/>
  <c r="E38" i="7"/>
  <c r="D38" i="7"/>
  <c r="C38" i="7"/>
  <c r="B38" i="7"/>
  <c r="F38" i="7"/>
  <c r="E11" i="5"/>
  <c r="O51" i="3"/>
  <c r="O52" i="3"/>
  <c r="O53" i="3"/>
  <c r="O54" i="3"/>
  <c r="O55" i="3"/>
  <c r="O56" i="3"/>
  <c r="O57" i="3"/>
  <c r="O58" i="3"/>
  <c r="O59" i="3"/>
  <c r="O60" i="3"/>
  <c r="O2" i="3"/>
  <c r="O3" i="3"/>
  <c r="O4" i="3"/>
  <c r="O5" i="3"/>
  <c r="O6" i="3"/>
  <c r="O8" i="3"/>
  <c r="O9" i="3"/>
  <c r="O17" i="3"/>
  <c r="P17" i="3"/>
  <c r="O18" i="3"/>
  <c r="P18" i="3"/>
  <c r="O19" i="3"/>
  <c r="P19" i="3"/>
  <c r="O20" i="3"/>
  <c r="P20" i="3"/>
  <c r="AA1" i="2"/>
  <c r="O7" i="3"/>
  <c r="P21" i="3"/>
  <c r="O21" i="3"/>
  <c r="P22" i="3"/>
  <c r="O22" i="3"/>
  <c r="P23" i="3"/>
  <c r="O23" i="3"/>
  <c r="P24" i="3"/>
  <c r="O24" i="3"/>
  <c r="P25" i="3"/>
  <c r="O25" i="3"/>
  <c r="P26" i="3"/>
  <c r="O26" i="3"/>
  <c r="P27" i="3"/>
  <c r="O27" i="3"/>
  <c r="P28" i="3"/>
  <c r="O28" i="3"/>
  <c r="O29" i="3"/>
  <c r="P29" i="3"/>
  <c r="P30" i="3"/>
  <c r="O30" i="3"/>
  <c r="P31" i="3"/>
  <c r="O31" i="3"/>
  <c r="P32" i="3"/>
  <c r="O32" i="3"/>
  <c r="O33" i="3"/>
  <c r="P33" i="3"/>
  <c r="O34" i="3"/>
  <c r="P34" i="3"/>
  <c r="O35" i="3"/>
  <c r="P35" i="3"/>
  <c r="O36" i="3"/>
  <c r="P36" i="3"/>
  <c r="P37" i="3"/>
  <c r="O37" i="3"/>
  <c r="O38" i="3"/>
  <c r="P38" i="3"/>
  <c r="O39" i="3"/>
  <c r="P39" i="3"/>
  <c r="O40" i="3"/>
  <c r="O41" i="3"/>
  <c r="O42" i="3"/>
  <c r="O43" i="3"/>
  <c r="P43" i="3" s="1"/>
  <c r="O44" i="3"/>
  <c r="P44" i="3" s="1"/>
  <c r="O45" i="3"/>
  <c r="P45" i="3" s="1"/>
  <c r="O46" i="3"/>
  <c r="O47" i="3"/>
  <c r="P47" i="3" s="1"/>
  <c r="P48" i="3"/>
  <c r="O48" i="3"/>
  <c r="O49" i="3"/>
  <c r="P49" i="3"/>
  <c r="O50" i="3"/>
  <c r="P50" i="3"/>
  <c r="P10" i="3"/>
  <c r="P14" i="3"/>
  <c r="P15" i="3"/>
  <c r="P13" i="3"/>
  <c r="P12" i="3"/>
  <c r="E13" i="5"/>
  <c r="E14" i="5"/>
  <c r="E12" i="5"/>
  <c r="E10" i="5"/>
  <c r="E19" i="5"/>
  <c r="J13" i="1"/>
  <c r="J10" i="1"/>
  <c r="E18" i="5"/>
  <c r="B19" i="5" a="1"/>
  <c r="B18" i="5" a="1"/>
  <c r="B17" i="5" a="1"/>
  <c r="H5" i="5"/>
  <c r="F5" i="5"/>
  <c r="AA3" i="2"/>
  <c r="P51" i="3" l="1"/>
  <c r="P52" i="3"/>
  <c r="P53" i="3"/>
  <c r="P54" i="3"/>
  <c r="P55" i="3"/>
  <c r="P56" i="3"/>
  <c r="P57" i="3"/>
  <c r="P58" i="3"/>
  <c r="P59" i="3"/>
  <c r="P60" i="3"/>
  <c r="P2" i="3"/>
  <c r="P3" i="3"/>
  <c r="P4" i="3"/>
  <c r="P5" i="3"/>
  <c r="P6" i="3"/>
  <c r="P8" i="3"/>
  <c r="P9" i="3"/>
  <c r="P7" i="3"/>
  <c r="P40" i="3"/>
  <c r="P41" i="3"/>
  <c r="P11" i="3"/>
  <c r="P16" i="3"/>
  <c r="P46" i="3"/>
  <c r="P42" i="3"/>
  <c r="AA25" i="2"/>
  <c r="AA26" i="2"/>
  <c r="AA27" i="2"/>
  <c r="AA28" i="2"/>
  <c r="AA19" i="2"/>
  <c r="AA20" i="2"/>
  <c r="AA21" i="2"/>
  <c r="AA22" i="2"/>
  <c r="AA23" i="2"/>
  <c r="AA24" i="2"/>
  <c r="E17" i="5"/>
  <c r="J12" i="1"/>
  <c r="B20" i="5"/>
  <c r="J11" i="1"/>
  <c r="A7" i="2"/>
  <c r="B6" i="4"/>
  <c r="B7" i="4"/>
  <c r="C61" i="4"/>
  <c r="D61" i="4"/>
  <c r="O6" i="2"/>
  <c r="AA9" i="2" l="1"/>
  <c r="AA10" i="2"/>
  <c r="AA11" i="2"/>
  <c r="AA12" i="2"/>
  <c r="AA14" i="2"/>
  <c r="AA15" i="2"/>
  <c r="AA17" i="2"/>
  <c r="AA13" i="2"/>
  <c r="AA16" i="2"/>
  <c r="AA18" i="2"/>
  <c r="B28" i="2"/>
  <c r="A55" i="4" s="1"/>
  <c r="A28" i="2"/>
  <c r="L28" i="2"/>
  <c r="B8" i="4"/>
  <c r="E61" i="4"/>
  <c r="J28" i="2" l="1"/>
  <c r="K28" i="2"/>
  <c r="AA28" i="4"/>
  <c r="E55" i="4"/>
  <c r="B55" i="4"/>
  <c r="C55" i="4"/>
  <c r="D55" i="4"/>
  <c r="B26" i="2"/>
  <c r="J26" i="2"/>
  <c r="K26" i="2"/>
  <c r="L26" i="2"/>
  <c r="AA26" i="4"/>
  <c r="E53" i="4"/>
  <c r="A26" i="2"/>
  <c r="A53" i="4"/>
  <c r="B53" i="4"/>
  <c r="C53" i="4"/>
  <c r="D53" i="4"/>
  <c r="B24" i="2"/>
  <c r="J24" i="2"/>
  <c r="K24" i="2"/>
  <c r="L24" i="2"/>
  <c r="AA24" i="4"/>
  <c r="D51" i="4"/>
  <c r="E51" i="4"/>
  <c r="A24" i="2"/>
  <c r="C51" i="4"/>
  <c r="B51" i="4"/>
  <c r="A51" i="4"/>
  <c r="E48" i="4"/>
  <c r="A21" i="2"/>
  <c r="B21" i="2"/>
  <c r="K21" i="2"/>
  <c r="D48" i="4" s="1"/>
  <c r="AA21" i="4"/>
  <c r="A48" i="4"/>
  <c r="B48" i="4"/>
  <c r="C48" i="4"/>
  <c r="J21" i="2"/>
  <c r="L21" i="2"/>
  <c r="L20" i="2"/>
  <c r="B20" i="2"/>
  <c r="A47" i="4" s="1"/>
  <c r="A20" i="2"/>
  <c r="B47" i="4"/>
  <c r="E47" i="4"/>
  <c r="J20" i="2"/>
  <c r="K20" i="2"/>
  <c r="D47" i="4" s="1"/>
  <c r="AA20" i="4"/>
  <c r="C47" i="4"/>
  <c r="B54" i="4"/>
  <c r="A54" i="4"/>
  <c r="C54" i="4"/>
  <c r="D54" i="4"/>
  <c r="L27" i="2"/>
  <c r="E54" i="4"/>
  <c r="A27" i="2"/>
  <c r="B27" i="2"/>
  <c r="J27" i="2"/>
  <c r="K27" i="2"/>
  <c r="AA27" i="4"/>
  <c r="C52" i="4"/>
  <c r="L25" i="2"/>
  <c r="E52" i="4"/>
  <c r="A25" i="2"/>
  <c r="B25" i="2"/>
  <c r="A52" i="4" s="1"/>
  <c r="J25" i="2"/>
  <c r="K25" i="2"/>
  <c r="D52" i="4" s="1"/>
  <c r="AA25" i="4"/>
  <c r="B52" i="4"/>
  <c r="C50" i="4"/>
  <c r="J23" i="2"/>
  <c r="E50" i="4"/>
  <c r="A23" i="2"/>
  <c r="B23" i="2"/>
  <c r="K23" i="2"/>
  <c r="D50" i="4" s="1"/>
  <c r="L23" i="2"/>
  <c r="AA23" i="4"/>
  <c r="A50" i="4"/>
  <c r="B50" i="4"/>
  <c r="B22" i="2"/>
  <c r="L22" i="2"/>
  <c r="AA22" i="4"/>
  <c r="A49" i="4"/>
  <c r="E49" i="4"/>
  <c r="K22" i="2"/>
  <c r="C49" i="4"/>
  <c r="D49" i="4"/>
  <c r="B49" i="4"/>
  <c r="J22" i="2"/>
  <c r="A22" i="2"/>
  <c r="A19" i="2"/>
  <c r="L19" i="2"/>
  <c r="B46" i="4"/>
  <c r="J19" i="2"/>
  <c r="E46" i="4"/>
  <c r="AA19" i="4"/>
  <c r="K19" i="2"/>
  <c r="B19" i="2"/>
  <c r="A46" i="4"/>
  <c r="C46" i="4"/>
  <c r="D46" i="4"/>
  <c r="L18" i="2"/>
  <c r="C45" i="4"/>
  <c r="B18" i="2"/>
  <c r="A45" i="4" s="1"/>
  <c r="AA18" i="4"/>
  <c r="A18" i="2"/>
  <c r="E45" i="4"/>
  <c r="J18" i="2"/>
  <c r="B45" i="4"/>
  <c r="K18" i="2"/>
  <c r="D45" i="4" s="1"/>
  <c r="AA17" i="4"/>
  <c r="B44" i="4"/>
  <c r="J17" i="2"/>
  <c r="E44" i="4"/>
  <c r="L17" i="2"/>
  <c r="A17" i="2"/>
  <c r="B17" i="2"/>
  <c r="A44" i="4" s="1"/>
  <c r="K17" i="2"/>
  <c r="D44" i="4" s="1"/>
  <c r="C44" i="4"/>
  <c r="A16" i="2"/>
  <c r="J16" i="2"/>
  <c r="B43" i="4"/>
  <c r="B16" i="2"/>
  <c r="A43" i="4" s="1"/>
  <c r="E43" i="4"/>
  <c r="K16" i="2"/>
  <c r="D43" i="4" s="1"/>
  <c r="C43" i="4"/>
  <c r="L16" i="2"/>
  <c r="AA16" i="4"/>
  <c r="E42" i="4"/>
  <c r="C42" i="4"/>
  <c r="K15" i="2"/>
  <c r="D42" i="4" s="1"/>
  <c r="A15" i="2"/>
  <c r="L15" i="2"/>
  <c r="J15" i="2"/>
  <c r="B15" i="2"/>
  <c r="A42" i="4" s="1"/>
  <c r="B42" i="4"/>
  <c r="AA15" i="4"/>
  <c r="E41" i="4"/>
  <c r="AA14" i="4"/>
  <c r="K14" i="2"/>
  <c r="D41" i="4" s="1"/>
  <c r="J14" i="2"/>
  <c r="C41" i="4"/>
  <c r="B41" i="4"/>
  <c r="L14" i="2"/>
  <c r="B14" i="2"/>
  <c r="A41" i="4" s="1"/>
  <c r="A14" i="2"/>
  <c r="E40" i="4"/>
  <c r="B13" i="2"/>
  <c r="A40" i="4" s="1"/>
  <c r="A13" i="2"/>
  <c r="C40" i="4"/>
  <c r="B40" i="4"/>
  <c r="AA13" i="4"/>
  <c r="L13" i="2"/>
  <c r="K13" i="2"/>
  <c r="D40" i="4" s="1"/>
  <c r="J13" i="2"/>
  <c r="E39" i="4"/>
  <c r="AA12" i="4"/>
  <c r="K12" i="2"/>
  <c r="D39" i="4" s="1"/>
  <c r="J12" i="2"/>
  <c r="C39" i="4"/>
  <c r="B39" i="4"/>
  <c r="L12" i="2"/>
  <c r="B12" i="2"/>
  <c r="A39" i="4" s="1"/>
  <c r="A12" i="2"/>
  <c r="E38" i="4"/>
  <c r="K11" i="2"/>
  <c r="D38" i="4" s="1"/>
  <c r="A11" i="2"/>
  <c r="C38" i="4"/>
  <c r="B38" i="4"/>
  <c r="AA11" i="4"/>
  <c r="L11" i="2"/>
  <c r="J11" i="2"/>
  <c r="B11" i="2"/>
  <c r="A38" i="4" s="1"/>
  <c r="E37" i="4"/>
  <c r="AA10" i="4"/>
  <c r="J10" i="2"/>
  <c r="B10" i="2"/>
  <c r="A37" i="4" s="1"/>
  <c r="C37" i="4"/>
  <c r="B37" i="4"/>
  <c r="L10" i="2"/>
  <c r="K10" i="2"/>
  <c r="D37" i="4" s="1"/>
  <c r="A10" i="2"/>
  <c r="E36" i="4"/>
  <c r="O7" i="2" a="1"/>
  <c r="K9" i="2"/>
  <c r="D36" i="4" s="1"/>
  <c r="A9" i="2"/>
  <c r="C36" i="4"/>
  <c r="B36" i="4"/>
  <c r="AA9" i="4"/>
  <c r="L9" i="2"/>
  <c r="J9" i="2"/>
  <c r="B9" i="2"/>
  <c r="A36" i="4" s="1"/>
  <c r="O9" i="2" l="1"/>
  <c r="O8" i="2"/>
  <c r="O10" i="2"/>
  <c r="B11" i="4" s="1"/>
  <c r="AB16" i="4" a="1"/>
  <c r="B10" i="4" l="1"/>
  <c r="G61" i="4"/>
  <c r="O12" i="2"/>
  <c r="O11" i="2"/>
  <c r="F61" i="4"/>
  <c r="F12" i="1"/>
  <c r="B9" i="4"/>
  <c r="A17" i="4" a="1"/>
  <c r="C7" i="8" s="1"/>
  <c r="A18" i="4" a="1"/>
  <c r="C8" i="8" s="1"/>
  <c r="A19" i="4" a="1"/>
  <c r="C9" i="8" s="1"/>
  <c r="A20" i="4" a="1"/>
  <c r="C10" i="8" s="1"/>
  <c r="A21" i="4" a="1"/>
  <c r="C11" i="8" s="1"/>
  <c r="A22" i="4" a="1"/>
  <c r="C12" i="8" s="1"/>
  <c r="A23" i="4" a="1"/>
  <c r="C13" i="8" s="1"/>
  <c r="A24" i="4" a="1"/>
  <c r="C14" i="8" s="1"/>
  <c r="A25" i="4" a="1"/>
  <c r="C15" i="8" s="1"/>
  <c r="A26" i="4" a="1"/>
  <c r="C16" i="8" s="1"/>
  <c r="A27" i="4" a="1"/>
  <c r="C17" i="8" s="1"/>
  <c r="A28" i="4" a="1"/>
  <c r="C18" i="8" s="1"/>
  <c r="C47" i="8" l="1"/>
  <c r="G47" i="8"/>
  <c r="B7" i="8"/>
  <c r="B47" i="8" s="1"/>
  <c r="A7" i="8"/>
  <c r="A47" i="8" s="1"/>
  <c r="C48" i="8"/>
  <c r="B8" i="8"/>
  <c r="G48" i="8"/>
  <c r="A8" i="8"/>
  <c r="A48" i="8" s="1"/>
  <c r="B48" i="8"/>
  <c r="C49" i="8"/>
  <c r="G49" i="8"/>
  <c r="A9" i="8"/>
  <c r="A49" i="8" s="1"/>
  <c r="B9" i="8"/>
  <c r="B49" i="8" s="1"/>
  <c r="B10" i="8"/>
  <c r="E10" i="8"/>
  <c r="G10" i="8"/>
  <c r="E50" i="8"/>
  <c r="G50" i="8"/>
  <c r="D10" i="8"/>
  <c r="F10" i="8"/>
  <c r="H10" i="8"/>
  <c r="A50" i="8"/>
  <c r="C50" i="8"/>
  <c r="F50" i="8"/>
  <c r="A10" i="8"/>
  <c r="B50" i="8"/>
  <c r="D50" i="8"/>
  <c r="D11" i="8"/>
  <c r="G11" i="8"/>
  <c r="A51" i="8"/>
  <c r="C51" i="8"/>
  <c r="E51" i="8"/>
  <c r="A11" i="8"/>
  <c r="E11" i="8"/>
  <c r="D51" i="8"/>
  <c r="G51" i="8"/>
  <c r="B11" i="8"/>
  <c r="F11" i="8"/>
  <c r="H11" i="8"/>
  <c r="B51" i="8"/>
  <c r="F51" i="8"/>
  <c r="D12" i="8"/>
  <c r="F12" i="8"/>
  <c r="G12" i="8"/>
  <c r="C52" i="8"/>
  <c r="E52" i="8"/>
  <c r="A12" i="8"/>
  <c r="B12" i="8"/>
  <c r="E12" i="8"/>
  <c r="H12" i="8"/>
  <c r="A52" i="8"/>
  <c r="D52" i="8"/>
  <c r="F52" i="8"/>
  <c r="B52" i="8"/>
  <c r="G52" i="8"/>
  <c r="D13" i="8"/>
  <c r="F13" i="8"/>
  <c r="D53" i="8"/>
  <c r="G53" i="8"/>
  <c r="A13" i="8"/>
  <c r="E13" i="8"/>
  <c r="G13" i="8"/>
  <c r="H13" i="8"/>
  <c r="E53" i="8"/>
  <c r="B13" i="8"/>
  <c r="A53" i="8"/>
  <c r="B53" i="8"/>
  <c r="C53" i="8"/>
  <c r="F53" i="8"/>
  <c r="D14" i="8"/>
  <c r="F14" i="8" s="1"/>
  <c r="A54" i="8"/>
  <c r="B54" i="8"/>
  <c r="C54" i="8"/>
  <c r="A14" i="8"/>
  <c r="E14" i="8"/>
  <c r="H14" i="8"/>
  <c r="E54" i="8"/>
  <c r="D54" i="8"/>
  <c r="F54" i="8"/>
  <c r="B14" i="8"/>
  <c r="G14" i="8"/>
  <c r="G54" i="8"/>
  <c r="A15" i="8"/>
  <c r="B15" i="8"/>
  <c r="D15" i="8"/>
  <c r="E15" i="8"/>
  <c r="F15" i="8"/>
  <c r="G15" i="8"/>
  <c r="H15" i="8"/>
  <c r="A16" i="8"/>
  <c r="B16" i="8"/>
  <c r="D16" i="8"/>
  <c r="E16" i="8"/>
  <c r="F16" i="8"/>
  <c r="G16" i="8"/>
  <c r="H16" i="8"/>
  <c r="A17" i="8"/>
  <c r="B17" i="8"/>
  <c r="D17" i="8"/>
  <c r="E17" i="8"/>
  <c r="F17" i="8"/>
  <c r="G17" i="8"/>
  <c r="H17" i="8"/>
  <c r="E18" i="8"/>
  <c r="H18" i="8"/>
  <c r="A18" i="8"/>
  <c r="B18" i="8"/>
  <c r="D18" i="8"/>
  <c r="F18" i="8"/>
  <c r="G18" i="8"/>
  <c r="H61" i="4"/>
  <c r="F6" i="4"/>
  <c r="F11" i="1"/>
  <c r="B13" i="4"/>
  <c r="B12" i="4"/>
  <c r="I61" i="4"/>
  <c r="F10" i="1"/>
  <c r="C17" i="4" a="1"/>
  <c r="E7" i="8" s="1"/>
  <c r="E47" i="8" s="1"/>
  <c r="B17" i="4"/>
  <c r="D7" i="8" s="1"/>
  <c r="B18" i="4"/>
  <c r="D8" i="8" s="1"/>
  <c r="C18" i="4" a="1"/>
  <c r="E8" i="8" s="1"/>
  <c r="E48" i="8" s="1"/>
  <c r="C19" i="4" a="1"/>
  <c r="E9" i="8" s="1"/>
  <c r="E49" i="8" s="1"/>
  <c r="B19" i="4"/>
  <c r="D9" i="8" s="1"/>
  <c r="B20" i="4"/>
  <c r="C20" i="4" a="1"/>
  <c r="B21" i="4"/>
  <c r="C21" i="4" a="1"/>
  <c r="C22" i="4" a="1"/>
  <c r="B22" i="4"/>
  <c r="B23" i="4"/>
  <c r="C23" i="4" a="1"/>
  <c r="C24" i="4" a="1"/>
  <c r="B24" i="4"/>
  <c r="B25" i="4"/>
  <c r="C25" i="4" a="1"/>
  <c r="C26" i="4" a="1"/>
  <c r="B26" i="4"/>
  <c r="C27" i="4" a="1"/>
  <c r="B27" i="4"/>
  <c r="B28" i="4"/>
  <c r="C28" i="4" a="1"/>
  <c r="F7" i="8" l="1"/>
  <c r="D47" i="8"/>
  <c r="B20" i="8" a="1"/>
  <c r="D48" i="8"/>
  <c r="F8" i="8"/>
  <c r="F48" i="8" s="1"/>
  <c r="H8" i="8"/>
  <c r="G8" i="8"/>
  <c r="H9" i="8"/>
  <c r="F9" i="8"/>
  <c r="F49" i="8" s="1"/>
  <c r="D49" i="8"/>
  <c r="G9" i="8"/>
  <c r="D24" i="4"/>
  <c r="D28" i="4"/>
  <c r="D23" i="4"/>
  <c r="D25" i="4"/>
  <c r="D22" i="4"/>
  <c r="D26" i="4"/>
  <c r="D27" i="4"/>
  <c r="D21" i="4"/>
  <c r="D17" i="4"/>
  <c r="D19" i="4"/>
  <c r="D18" i="4"/>
  <c r="D20" i="4"/>
  <c r="A30" i="8" l="1" a="1"/>
  <c r="B27" i="8" a="1"/>
  <c r="B23" i="8"/>
  <c r="B22" i="8"/>
  <c r="B21" i="8"/>
  <c r="F47" i="8"/>
  <c r="H7" i="8"/>
  <c r="G7" i="8"/>
  <c r="B30" i="4" a="1"/>
  <c r="F13" i="1" l="1"/>
  <c r="A3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<sst xmlns="http://schemas.openxmlformats.org/spreadsheetml/2006/main" count="1100" uniqueCount="616">
  <si>
    <t>Subjects</t>
  </si>
  <si>
    <t>All Subjects</t>
  </si>
  <si>
    <t>Mathematics</t>
  </si>
  <si>
    <t>Accounting</t>
  </si>
  <si>
    <t>Economics</t>
  </si>
  <si>
    <t>Excel</t>
  </si>
  <si>
    <t>PowerPoint</t>
  </si>
  <si>
    <t>Difficulty</t>
  </si>
  <si>
    <t>All Difficulties</t>
  </si>
  <si>
    <t>Easy</t>
  </si>
  <si>
    <t>Medium</t>
  </si>
  <si>
    <t>Hard</t>
  </si>
  <si>
    <t>Question Count</t>
  </si>
  <si>
    <t>Answer Options</t>
  </si>
  <si>
    <t>A</t>
  </si>
  <si>
    <t>B</t>
  </si>
  <si>
    <t>C</t>
  </si>
  <si>
    <t>D</t>
  </si>
  <si>
    <t>How these lists are used</t>
  </si>
  <si>
    <t>← HOME</t>
  </si>
  <si>
    <t>Question ID</t>
  </si>
  <si>
    <t>Subject</t>
  </si>
  <si>
    <t>Topic</t>
  </si>
  <si>
    <t>Subtopic</t>
  </si>
  <si>
    <t>Question</t>
  </si>
  <si>
    <t>Option A</t>
  </si>
  <si>
    <t>Option B</t>
  </si>
  <si>
    <t>Option C</t>
  </si>
  <si>
    <t>Option D</t>
  </si>
  <si>
    <t>Correct Answer</t>
  </si>
  <si>
    <t>Explanation</t>
  </si>
  <si>
    <t>Active</t>
  </si>
  <si>
    <t>Q001</t>
  </si>
  <si>
    <t>Calculus</t>
  </si>
  <si>
    <t>Derivatives</t>
  </si>
  <si>
    <t>What is the derivative of x²?</t>
  </si>
  <si>
    <t>x</t>
  </si>
  <si>
    <t>2x</t>
  </si>
  <si>
    <t>x²</t>
  </si>
  <si>
    <t>The power rule gives d/dx(x²) = 2x.</t>
  </si>
  <si>
    <t>Yes</t>
  </si>
  <si>
    <t>Q002</t>
  </si>
  <si>
    <t>What is the derivative of sin(x)?</t>
  </si>
  <si>
    <t>sin(x)</t>
  </si>
  <si>
    <t>cos(x)</t>
  </si>
  <si>
    <t>tan(x)</t>
  </si>
  <si>
    <t>The derivative of sin(x) is cos(x).</t>
  </si>
  <si>
    <t>Q003</t>
  </si>
  <si>
    <t>Integration</t>
  </si>
  <si>
    <t>What is the indefinite integral of 2x?</t>
  </si>
  <si>
    <t>x² + C</t>
  </si>
  <si>
    <t>2x² + C</t>
  </si>
  <si>
    <t>x + C</t>
  </si>
  <si>
    <t>2 + C</t>
  </si>
  <si>
    <t>Integrating 2x with the power rule gives x² + C.</t>
  </si>
  <si>
    <t>Q004</t>
  </si>
  <si>
    <t>What is the indefinite integral of 1/x?</t>
  </si>
  <si>
    <t>1/x² + C</t>
  </si>
  <si>
    <t>ln|x| + C</t>
  </si>
  <si>
    <t>e^x + C</t>
  </si>
  <si>
    <t>The integral of 1/x is the natural log of the absolute value of x, plus C.</t>
  </si>
  <si>
    <t>Q005</t>
  </si>
  <si>
    <t>Algebra</t>
  </si>
  <si>
    <t>Linear Equations</t>
  </si>
  <si>
    <t>Solve 2x + 3 = 11.</t>
  </si>
  <si>
    <t>x = 3</t>
  </si>
  <si>
    <t>x = 4</t>
  </si>
  <si>
    <t>x = 5</t>
  </si>
  <si>
    <t>x = 7</t>
  </si>
  <si>
    <t>Subtract 3 from both sides, then divide by 2: x = 4.</t>
  </si>
  <si>
    <t>Q006</t>
  </si>
  <si>
    <t>Quadratic Equations</t>
  </si>
  <si>
    <t>What are the roots of x² − 5x + 6 = 0?</t>
  </si>
  <si>
    <t>1 and 6</t>
  </si>
  <si>
    <t>2 and 3</t>
  </si>
  <si>
    <t>−2 and −3</t>
  </si>
  <si>
    <t>5 and 6</t>
  </si>
  <si>
    <t>The quadratic factors as (x − 2)(x − 3) = 0.</t>
  </si>
  <si>
    <t>Q007</t>
  </si>
  <si>
    <t>Statistics</t>
  </si>
  <si>
    <t>Descriptive</t>
  </si>
  <si>
    <t>What is the mean of 2, 4, 6, and 8?</t>
  </si>
  <si>
    <t>The mean is (2 + 4 + 6 + 8) / 4 = 5.</t>
  </si>
  <si>
    <t>Q008</t>
  </si>
  <si>
    <t>Probability</t>
  </si>
  <si>
    <t>A fair coin is flipped twice. What is the probability of two heads?</t>
  </si>
  <si>
    <t>The flips are independent, so (1/2) × (1/2) = 1/4.</t>
  </si>
  <si>
    <t>Q009</t>
  </si>
  <si>
    <t>Journal Entries</t>
  </si>
  <si>
    <t>Debits and Credits</t>
  </si>
  <si>
    <t>Which account normally increases with a debit?</t>
  </si>
  <si>
    <t>Revenue</t>
  </si>
  <si>
    <t>Liability</t>
  </si>
  <si>
    <t>Asset</t>
  </si>
  <si>
    <t>Owner's equity</t>
  </si>
  <si>
    <t>Assets and expenses increase with debits. Revenue, liabilities, and equity increase with credits.</t>
  </si>
  <si>
    <t>Q010</t>
  </si>
  <si>
    <t>Adjusting Entries</t>
  </si>
  <si>
    <t>The adjusting entry for equipment depreciation includes a debit to:</t>
  </si>
  <si>
    <t>Equipment</t>
  </si>
  <si>
    <t>Accumulated depreciation</t>
  </si>
  <si>
    <t>Depreciation expense</t>
  </si>
  <si>
    <t>Cash</t>
  </si>
  <si>
    <t>Debit depreciation expense and credit accumulated depreciation.</t>
  </si>
  <si>
    <t>Q011</t>
  </si>
  <si>
    <t>Financial Statements</t>
  </si>
  <si>
    <t>Balance Sheet</t>
  </si>
  <si>
    <t>The basic accounting equation is:</t>
  </si>
  <si>
    <t>Assets = Liabilities − Equity</t>
  </si>
  <si>
    <t>Assets = Liabilities + Equity</t>
  </si>
  <si>
    <t>Assets + Liabilities = Equity</t>
  </si>
  <si>
    <t>Revenue = Expenses + Equity</t>
  </si>
  <si>
    <t>Assets equal liabilities plus equity.</t>
  </si>
  <si>
    <t>Q012</t>
  </si>
  <si>
    <t>Income Statement</t>
  </si>
  <si>
    <t>Gross profit equals:</t>
  </si>
  <si>
    <t>Sales − operating expenses</t>
  </si>
  <si>
    <t>Sales − cost of goods sold</t>
  </si>
  <si>
    <t>Net income + tax</t>
  </si>
  <si>
    <t>Assets − liabilities</t>
  </si>
  <si>
    <t>Gross profit is sales minus cost of goods sold.</t>
  </si>
  <si>
    <t>Q013</t>
  </si>
  <si>
    <t>Ratios</t>
  </si>
  <si>
    <t>Liquidity</t>
  </si>
  <si>
    <t>The current ratio equals:</t>
  </si>
  <si>
    <t>Current assets / current liabilities</t>
  </si>
  <si>
    <t>Total assets / total liabilities</t>
  </si>
  <si>
    <t>Cash / total debt</t>
  </si>
  <si>
    <t>Net income / sales</t>
  </si>
  <si>
    <t>Current ratio measures the ability to cover short-term liabilities with current assets.</t>
  </si>
  <si>
    <t>Q014</t>
  </si>
  <si>
    <t>Profitability</t>
  </si>
  <si>
    <t>Return on equity equals:</t>
  </si>
  <si>
    <t>Net income / average equity</t>
  </si>
  <si>
    <t>Sales / equity</t>
  </si>
  <si>
    <t>Assets / equity</t>
  </si>
  <si>
    <t>Gross profit / sales</t>
  </si>
  <si>
    <t>ROE is net income divided by average shareholders' equity.</t>
  </si>
  <si>
    <t>Q015</t>
  </si>
  <si>
    <t>Accruals</t>
  </si>
  <si>
    <t>Accrued Expenses</t>
  </si>
  <si>
    <t>An expense incurred but unpaid at period end is recorded as:</t>
  </si>
  <si>
    <t>Debit expense, credit liability</t>
  </si>
  <si>
    <t>Debit liability, credit expense</t>
  </si>
  <si>
    <t>Debit cash, credit expense</t>
  </si>
  <si>
    <t>Debit expense, credit revenue</t>
  </si>
  <si>
    <t>The expense is recognized now and a liability is recorded until it is paid.</t>
  </si>
  <si>
    <t>Q016</t>
  </si>
  <si>
    <t>Supply and Demand</t>
  </si>
  <si>
    <t>Law of Demand</t>
  </si>
  <si>
    <t>The law of demand says that, other things equal, a higher price leads to:</t>
  </si>
  <si>
    <t>A higher quantity demanded</t>
  </si>
  <si>
    <t>A lower quantity demanded</t>
  </si>
  <si>
    <t>A higher supply</t>
  </si>
  <si>
    <t>No change in demand</t>
  </si>
  <si>
    <t>Price and quantity demanded move in opposite directions along the demand curve.</t>
  </si>
  <si>
    <t>Q017</t>
  </si>
  <si>
    <t>Equilibrium</t>
  </si>
  <si>
    <t>Market equilibrium occurs where:</t>
  </si>
  <si>
    <t>Quantity demanded exceeds quantity supplied</t>
  </si>
  <si>
    <t>The supply curve is vertical</t>
  </si>
  <si>
    <t>Quantity demanded equals quantity supplied</t>
  </si>
  <si>
    <t>Price is zero</t>
  </si>
  <si>
    <t>Equilibrium is the price at which quantity demanded equals quantity supplied.</t>
  </si>
  <si>
    <t>Q018</t>
  </si>
  <si>
    <t>National Accounts</t>
  </si>
  <si>
    <t>GDP</t>
  </si>
  <si>
    <t>Gross domestic product measures:</t>
  </si>
  <si>
    <t>The market value of final goods and services produced in a country in a period</t>
  </si>
  <si>
    <t>Only government spending</t>
  </si>
  <si>
    <t>The stock of money</t>
  </si>
  <si>
    <t>Total corporate profit</t>
  </si>
  <si>
    <t>GDP is the market value of final output produced within a country during a period.</t>
  </si>
  <si>
    <t>Q019</t>
  </si>
  <si>
    <t>Real GDP</t>
  </si>
  <si>
    <t>Real GDP differs from nominal GDP because real GDP:</t>
  </si>
  <si>
    <t>Includes intermediate goods</t>
  </si>
  <si>
    <t>Is adjusted for changes in the price level</t>
  </si>
  <si>
    <t>Counts only exports</t>
  </si>
  <si>
    <t>Ignores services</t>
  </si>
  <si>
    <t>Real GDP holds prices constant so changes reflect volume rather than inflation.</t>
  </si>
  <si>
    <t>Q020</t>
  </si>
  <si>
    <t>Elasticity</t>
  </si>
  <si>
    <t>Price Elasticity</t>
  </si>
  <si>
    <t>Demand is price elastic when the absolute value of elasticity is:</t>
  </si>
  <si>
    <t>Less than 1</t>
  </si>
  <si>
    <t>Equal to 0</t>
  </si>
  <si>
    <t>Greater than 1</t>
  </si>
  <si>
    <t>Always negative only</t>
  </si>
  <si>
    <t>Elastic demand means quantity responds more than proportionally to a price change.</t>
  </si>
  <si>
    <t>Q021</t>
  </si>
  <si>
    <t>If price rises 10% and quantity demanded falls 10%, demand is:</t>
  </si>
  <si>
    <t>Perfectly inelastic</t>
  </si>
  <si>
    <t>Unit elastic</t>
  </si>
  <si>
    <t>Relatively inelastic</t>
  </si>
  <si>
    <t>Perfectly elastic</t>
  </si>
  <si>
    <t>Elastity equals 10% / 10% = 1, which is unit elastic.</t>
  </si>
  <si>
    <t>Q022</t>
  </si>
  <si>
    <t>Market Structures</t>
  </si>
  <si>
    <t>Monopoly</t>
  </si>
  <si>
    <t>A single seller of a product with no close substitutes is a:</t>
  </si>
  <si>
    <t>Perfect competitor</t>
  </si>
  <si>
    <t>Oligopolist</t>
  </si>
  <si>
    <t>Monopolist</t>
  </si>
  <si>
    <t>Price taker</t>
  </si>
  <si>
    <t>A monopoly is a single seller facing the market demand curve.</t>
  </si>
  <si>
    <t>Q023</t>
  </si>
  <si>
    <t>Formulas</t>
  </si>
  <si>
    <t>Basic Functions</t>
  </si>
  <si>
    <t>Which function adds a range of numbers?</t>
  </si>
  <si>
    <t>COUNT</t>
  </si>
  <si>
    <t>AVERAGE</t>
  </si>
  <si>
    <t>SUM</t>
  </si>
  <si>
    <t>IF</t>
  </si>
  <si>
    <t>SUM adds the numeric values in a range.</t>
  </si>
  <si>
    <t>Q024</t>
  </si>
  <si>
    <t>Lookup</t>
  </si>
  <si>
    <t>In VLOOKUP, a range_lookup argument of FALSE means:</t>
  </si>
  <si>
    <t>Approximate match</t>
  </si>
  <si>
    <t>Exact match</t>
  </si>
  <si>
    <t>Look up to the left</t>
  </si>
  <si>
    <t>Return the column header</t>
  </si>
  <si>
    <t>FALSE (or 0) requests an exact match. TRUE requests an approximate match.</t>
  </si>
  <si>
    <t>Q025</t>
  </si>
  <si>
    <t>INDEX/MATCH is often preferred to VLOOKUP because it can:</t>
  </si>
  <si>
    <t>Look up numbers only</t>
  </si>
  <si>
    <t>Return a value from a column to the left of the key</t>
  </si>
  <si>
    <t>Ignore every header</t>
  </si>
  <si>
    <t>Sort the sheet automatically</t>
  </si>
  <si>
    <t>MATCH finds the row and INDEX can return any column, including one to the left of the key.</t>
  </si>
  <si>
    <t>Q026</t>
  </si>
  <si>
    <t>Charts</t>
  </si>
  <si>
    <t>Chart Types</t>
  </si>
  <si>
    <t>A line chart is most appropriate for:</t>
  </si>
  <si>
    <t>A trend across time</t>
  </si>
  <si>
    <t>A single share of a whole</t>
  </si>
  <si>
    <t>Unrelated text labels only</t>
  </si>
  <si>
    <t>A photograph</t>
  </si>
  <si>
    <t>Line charts show how a value changes across ordered time periods.</t>
  </si>
  <si>
    <t>Q027</t>
  </si>
  <si>
    <t>Pivot Tables</t>
  </si>
  <si>
    <t>Summaries</t>
  </si>
  <si>
    <t>A PivotTable is mainly used to:</t>
  </si>
  <si>
    <t>Change the file format</t>
  </si>
  <si>
    <t>Summarize and regroup a large data set</t>
  </si>
  <si>
    <t>Draw freehand shapes</t>
  </si>
  <si>
    <t>Password-protect the workbook</t>
  </si>
  <si>
    <t>PivotTables aggregate and slice data without changing the source rows.</t>
  </si>
  <si>
    <t>Q028</t>
  </si>
  <si>
    <t>Functions</t>
  </si>
  <si>
    <t>XLOOKUP improves on VLOOKUP mainly because it:</t>
  </si>
  <si>
    <t>Requires sorted data only</t>
  </si>
  <si>
    <t>Can look left or right and defaults to an exact match</t>
  </si>
  <si>
    <t>Cannot return text</t>
  </si>
  <si>
    <t>Works only in Excel 2003</t>
  </si>
  <si>
    <t>XLOOKUP searches in either direction and uses exact match by default.</t>
  </si>
  <si>
    <t>Q029</t>
  </si>
  <si>
    <t>References</t>
  </si>
  <si>
    <t>$A$1 is an example of:</t>
  </si>
  <si>
    <t>A relative reference</t>
  </si>
  <si>
    <t>A mixed reference</t>
  </si>
  <si>
    <t>An absolute reference</t>
  </si>
  <si>
    <t>A structured table reference</t>
  </si>
  <si>
    <t>Dollar signs lock both the column and the row, so the reference does not shift when copied.</t>
  </si>
  <si>
    <t>Q030</t>
  </si>
  <si>
    <t>Slides</t>
  </si>
  <si>
    <t>Slide Layout</t>
  </si>
  <si>
    <t>The layout that typically contains a title and a subtitle is:</t>
  </si>
  <si>
    <t>Blank</t>
  </si>
  <si>
    <t>Title Slide</t>
  </si>
  <si>
    <t>Comparison</t>
  </si>
  <si>
    <t>Content with Caption</t>
  </si>
  <si>
    <t>The Title Slide layout is designed for a presentation title and subtitle.</t>
  </si>
  <si>
    <t>Q031</t>
  </si>
  <si>
    <t>Design</t>
  </si>
  <si>
    <t>Slide Master</t>
  </si>
  <si>
    <t>To change fonts and placeholders for a whole layout, edit the:</t>
  </si>
  <si>
    <t>Notes page only</t>
  </si>
  <si>
    <t>Animation pane</t>
  </si>
  <si>
    <t>Print settings</t>
  </si>
  <si>
    <t>The Slide Master controls consistent formatting across the layouts based on it.</t>
  </si>
  <si>
    <t>Q032</t>
  </si>
  <si>
    <t>Animation</t>
  </si>
  <si>
    <t>Entrance</t>
  </si>
  <si>
    <t>An animation that brings an object onto the slide is called:</t>
  </si>
  <si>
    <t>An entrance effect</t>
  </si>
  <si>
    <t>An exit effect</t>
  </si>
  <si>
    <t>A transition</t>
  </si>
  <si>
    <t>A handout</t>
  </si>
  <si>
    <t>Entrance effects introduce an object onto the slide. Exit effects remove it.</t>
  </si>
  <si>
    <t>Q033</t>
  </si>
  <si>
    <t>Delivery</t>
  </si>
  <si>
    <t>Presenter View</t>
  </si>
  <si>
    <t>Presenter View is useful because the speaker can see:</t>
  </si>
  <si>
    <t>Only the audience screen</t>
  </si>
  <si>
    <t>Notes, the next slide, and a timer while the audience sees the current slide</t>
  </si>
  <si>
    <t>The slide master only</t>
  </si>
  <si>
    <t>Hidden file properties</t>
  </si>
  <si>
    <t>Presenter View keeps notes and navigation on the speaker's screen.</t>
  </si>
  <si>
    <t>Q034</t>
  </si>
  <si>
    <t>Readability</t>
  </si>
  <si>
    <t>A practical readability guideline for slide text is to:</t>
  </si>
  <si>
    <t>Paste full report paragraphs</t>
  </si>
  <si>
    <t>Keep bullets short and use strong contrast</t>
  </si>
  <si>
    <t>Use red text on a green background</t>
  </si>
  <si>
    <t>Mix many fonts on one slide</t>
  </si>
  <si>
    <t>Short bullets and strong contrast keep a slide readable from a distance.</t>
  </si>
  <si>
    <t>Q035</t>
  </si>
  <si>
    <t>Transitions</t>
  </si>
  <si>
    <t>Timing</t>
  </si>
  <si>
    <t>A slide transition controls:</t>
  </si>
  <si>
    <t>How objects move inside one slide</t>
  </si>
  <si>
    <t>How the presentation moves from one slide to the next</t>
  </si>
  <si>
    <t>The speaker notes</t>
  </si>
  <si>
    <t>The file name</t>
  </si>
  <si>
    <t>Transitions are the effects between slides. Animations move objects on a slide.</t>
  </si>
  <si>
    <t>Q036</t>
  </si>
  <si>
    <t>Multimedia</t>
  </si>
  <si>
    <t>Embedding</t>
  </si>
  <si>
    <t>Embedding a video, rather than linking it, means:</t>
  </si>
  <si>
    <t>The video is stored inside the presentation file</t>
  </si>
  <si>
    <t>The video plays only if the original folder path is available</t>
  </si>
  <si>
    <t>PowerPoint cannot play it</t>
  </si>
  <si>
    <t>The video is converted to audio only</t>
  </si>
  <si>
    <t>An embedded video travels with the file. A linked video depends on the external path.</t>
  </si>
  <si>
    <t>Q037</t>
  </si>
  <si>
    <t>Percentages</t>
  </si>
  <si>
    <t>What is 10% of 200?</t>
  </si>
  <si>
    <t>10% of 200 is 20. This row is inactive and will not appear in a quiz.</t>
  </si>
  <si>
    <t>No</t>
  </si>
  <si>
    <t>Q038</t>
  </si>
  <si>
    <t>Which symbol starts a formula in Excel?</t>
  </si>
  <si>
    <t>#</t>
  </si>
  <si>
    <t>=</t>
  </si>
  <si>
    <t>@</t>
  </si>
  <si>
    <t>&amp;</t>
  </si>
  <si>
    <t>Formulas begin with an equals sign. This row is inactive and will not appear in a quiz.</t>
  </si>
  <si>
    <t>-cos(x)</t>
  </si>
  <si>
    <t>1/2</t>
  </si>
  <si>
    <t>1/3</t>
  </si>
  <si>
    <t>1/4</t>
  </si>
  <si>
    <t>1/8</t>
  </si>
  <si>
    <t>2</t>
  </si>
  <si>
    <t>4</t>
  </si>
  <si>
    <t>5</t>
  </si>
  <si>
    <t>6</t>
  </si>
  <si>
    <t>8</t>
  </si>
  <si>
    <t>10</t>
  </si>
  <si>
    <t>20</t>
  </si>
  <si>
    <t>30</t>
  </si>
  <si>
    <t>40</t>
  </si>
  <si>
    <t>Eligible</t>
  </si>
  <si>
    <t>Rank Key</t>
  </si>
  <si>
    <t>Draw Rank</t>
  </si>
  <si>
    <t>QUIZ CENTER</t>
  </si>
  <si>
    <t>Select your settings and test your knowledge.</t>
  </si>
  <si>
    <t>Questions</t>
  </si>
  <si>
    <t>Shuffle</t>
  </si>
  <si>
    <t>Type a new whole number to draw a different quiz. Clear the Your Answer cells before you reshuffle. Questions stay fixed until Shuffle changes.</t>
  </si>
  <si>
    <t>Q#</t>
  </si>
  <si>
    <t>Your Answer</t>
  </si>
  <si>
    <t>Correct</t>
  </si>
  <si>
    <t>Result</t>
  </si>
  <si>
    <t>CURRENT QUIZ</t>
  </si>
  <si>
    <t>Total Questions</t>
  </si>
  <si>
    <t>Answered</t>
  </si>
  <si>
    <t>Incorrect</t>
  </si>
  <si>
    <t>Not Answered</t>
  </si>
  <si>
    <t>Score</t>
  </si>
  <si>
    <t>Accuracy</t>
  </si>
  <si>
    <t>→ RESULTS</t>
  </si>
  <si>
    <t>QUIZ RESULTS</t>
  </si>
  <si>
    <t>Review the current quiz, see the score, and find the weakest subtopic.</t>
  </si>
  <si>
    <t>→ PROGRESS</t>
  </si>
  <si>
    <t>SUMMARY</t>
  </si>
  <si>
    <t>PERFORMANCE</t>
  </si>
  <si>
    <t>WEAK TOPIC ANALYSIS</t>
  </si>
  <si>
    <t>Weakest Area</t>
  </si>
  <si>
    <t>QUESTION REVIEW</t>
  </si>
  <si>
    <t>ADD CURRENT RESULT TO HISTORY</t>
  </si>
  <si>
    <t>Excel 2021 cannot append history by itself. Copy row 61, open PROGRESS, and Paste Values into the next blank row of tblHistory. Sample history rows can be overwritten.</t>
  </si>
  <si>
    <t>Attempt ID</t>
  </si>
  <si>
    <t>Date</t>
  </si>
  <si>
    <t>STUDY PROGRESS</t>
  </si>
  <si>
    <t>Long-term performance from quiz history. Sample rows are included so the dashboard is ready to use.</t>
  </si>
  <si>
    <t>Total Quizzes</t>
  </si>
  <si>
    <t>Average Accuracy</t>
  </si>
  <si>
    <t>Best Accuracy</t>
  </si>
  <si>
    <t>Questions Correct</t>
  </si>
  <si>
    <t>Questions Incorrect</t>
  </si>
  <si>
    <t>A001</t>
  </si>
  <si>
    <t>2026-08-31T18:30:00.000Z</t>
  </si>
  <si>
    <t>A002</t>
  </si>
  <si>
    <t>2026-09-07T18:30:00.000Z</t>
  </si>
  <si>
    <t>A003</t>
  </si>
  <si>
    <t>2026-09-14T18:30:00.000Z</t>
  </si>
  <si>
    <t>A004</t>
  </si>
  <si>
    <t>2026-09-21T18:30:00.000Z</t>
  </si>
  <si>
    <t>A005</t>
  </si>
  <si>
    <t>2026-09-28T18:30:00.000Z</t>
  </si>
  <si>
    <t>A006</t>
  </si>
  <si>
    <t>2026-10-01T18:30:00.000Z</t>
  </si>
  <si>
    <t>PERFORMANCE BY SUBJECT</t>
  </si>
  <si>
    <t>Quizzes</t>
  </si>
  <si>
    <t>PERFORMANCE BY DIFFICULTY</t>
  </si>
  <si>
    <t>Attempts</t>
  </si>
  <si>
    <t>STUDY INSIGHTS</t>
  </si>
  <si>
    <t>Strongest Subject</t>
  </si>
  <si>
    <t>Weakest Subject</t>
  </si>
  <si>
    <t>Best Difficulty</t>
  </si>
  <si>
    <t>Best Score</t>
  </si>
  <si>
    <t>Quizzes Completed</t>
  </si>
  <si>
    <t>Questions Attempted</t>
  </si>
  <si>
    <t>QUIZ HISTORY — copy the green row on RESULTS and Paste Values into the next blank row</t>
  </si>
  <si>
    <t>EXCEL AI STUDY ASSISTANT
Learn  •  Practice  •  Test  •  Analyze  •  Improve</t>
  </si>
  <si>
    <t>A local study desk for Excel 2021. Choose a subject and difficulty, draw a quiz from the question bank, answer in the blue cells, then review the score, explanations, and weak subtopics. History is saved by pasting the green result row into PROGRESS.</t>
  </si>
  <si>
    <t>START QUIZ</t>
  </si>
  <si>
    <t>1. Choose a topic.
2. Choose difficulty.
3. Choose number of questions.
4. Answer the questions.
5. Check your score.</t>
  </si>
  <si>
    <t>Last Score</t>
  </si>
  <si>
    <t>Correct Answers</t>
  </si>
  <si>
    <t>Total Questions Attempted</t>
  </si>
  <si>
    <t>HOW TO USE</t>
  </si>
  <si>
    <t>QUESTION BANK  →  QUIZ  →  RESULTS  →  PROGRESS
1. Add or edit questions on QUESTION_BANK. Only Active = Yes is used. Correct Answer must be A, B, C, or D.
2. On QUIZ, pick Subject, Difficulty, and Questions. Change Shuffle to draw a new set, then clear old answers.
3. Answer in the blue Your Answer cells. Result, score, and accuracy update immediately.
4. Open RESULTS to read explanations, the performance message, and the weakest subtopic.
5. Copy the green history row on RESULTS and Paste Values into the next blank row of tblHistory on PROGRESS.
6. SETTINGS holds the dropdown lists. Open QUESTION BANK or SETTINGS from the links below.</t>
  </si>
  <si>
    <t>QUESTION BANK</t>
  </si>
  <si>
    <t>SETTINGS</t>
  </si>
  <si>
    <t>QUIZ</t>
  </si>
  <si>
    <t>RESULTS</t>
  </si>
  <si>
    <t>PROGRESS</t>
  </si>
  <si>
    <t>Q039</t>
  </si>
  <si>
    <t>What is 15% of 80?</t>
  </si>
  <si>
    <t>12</t>
  </si>
  <si>
    <t>15</t>
  </si>
  <si>
    <t>18</t>
  </si>
  <si>
    <t>15% of 80 is 12.</t>
  </si>
  <si>
    <t>Q040</t>
  </si>
  <si>
    <t>The median of 3, 9, and 4 is:</t>
  </si>
  <si>
    <t>3</t>
  </si>
  <si>
    <t>9</t>
  </si>
  <si>
    <t>5.3</t>
  </si>
  <si>
    <t>Ordered values are 3, 4, 9. The middle value is 4.</t>
  </si>
  <si>
    <t>Q041</t>
  </si>
  <si>
    <t>Prepaid insurance used this period is recorded as:</t>
  </si>
  <si>
    <t>Debit insurance expense, credit prepaid insurance</t>
  </si>
  <si>
    <t>Debit prepaid insurance, credit cash</t>
  </si>
  <si>
    <t>Debit cash, credit insurance expense</t>
  </si>
  <si>
    <t>Debit revenue, credit prepaid insurance</t>
  </si>
  <si>
    <t>The asset is reduced and the expense is recognized as coverage is used.</t>
  </si>
  <si>
    <t>Q042</t>
  </si>
  <si>
    <t>Operating income is generally:</t>
  </si>
  <si>
    <t>Gross profit minus operating expenses</t>
  </si>
  <si>
    <t>Sales plus expenses</t>
  </si>
  <si>
    <t>Assets minus equity</t>
  </si>
  <si>
    <t>Cash minus debt</t>
  </si>
  <si>
    <t>Operating income is gross profit less operating expenses.</t>
  </si>
  <si>
    <t>Q043</t>
  </si>
  <si>
    <t>A current ratio below 1 usually means:</t>
  </si>
  <si>
    <t>Current liabilities exceed current assets</t>
  </si>
  <si>
    <t>The firm has no debt</t>
  </si>
  <si>
    <t>Profit is negative</t>
  </si>
  <si>
    <t>Inventory is zero</t>
  </si>
  <si>
    <t>Current assets divided by current liabilities is below 1 when liabilities are larger.</t>
  </si>
  <si>
    <t>Q044</t>
  </si>
  <si>
    <t>Net profit margin equals:</t>
  </si>
  <si>
    <t>Sales / net income</t>
  </si>
  <si>
    <t>Gross profit / assets</t>
  </si>
  <si>
    <t>Net profit margin is net income divided by sales.</t>
  </si>
  <si>
    <t>Q045</t>
  </si>
  <si>
    <t>Unearned Revenue</t>
  </si>
  <si>
    <t>Unearned revenue is:</t>
  </si>
  <si>
    <t>A liability until the service is delivered</t>
  </si>
  <si>
    <t>An expense</t>
  </si>
  <si>
    <t>A cash discount</t>
  </si>
  <si>
    <t>Cash received before delivery is a liability until it is earned.</t>
  </si>
  <si>
    <t>Q046</t>
  </si>
  <si>
    <t>Cash Sales</t>
  </si>
  <si>
    <t>Which entry records a cash sale?</t>
  </si>
  <si>
    <t>Debit cash, credit revenue</t>
  </si>
  <si>
    <t>Debit revenue, credit cash</t>
  </si>
  <si>
    <t>Debit expense, credit cash</t>
  </si>
  <si>
    <t>Cash increases with a debit and revenue increases with a credit.</t>
  </si>
  <si>
    <t>Q047</t>
  </si>
  <si>
    <t>Which XLOOKUP argument supplies the values to return?</t>
  </si>
  <si>
    <t>lookup_value</t>
  </si>
  <si>
    <t>lookup_array</t>
  </si>
  <si>
    <t>return_array</t>
  </si>
  <si>
    <t>if_not_found</t>
  </si>
  <si>
    <t>return_array is the range XLOOKUP returns a value from.</t>
  </si>
  <si>
    <t>Q048</t>
  </si>
  <si>
    <t>The mixed reference $A1 locks:</t>
  </si>
  <si>
    <t>The row only</t>
  </si>
  <si>
    <t>The column only</t>
  </si>
  <si>
    <t>Both the column and the row</t>
  </si>
  <si>
    <t>Neither</t>
  </si>
  <si>
    <t>The dollar sign before the column locks the column. The row can still change.</t>
  </si>
  <si>
    <t>Q049</t>
  </si>
  <si>
    <t>A PivotTable calculated field:</t>
  </si>
  <si>
    <t>Changes the workbook file type</t>
  </si>
  <si>
    <t>Creates a formula from other pivot fields</t>
  </si>
  <si>
    <t>Deletes the pivot cache</t>
  </si>
  <si>
    <t>Requires a macro</t>
  </si>
  <si>
    <t>A calculated field is a formula built from fields already in the pivot cache.</t>
  </si>
  <si>
    <t>Business Studies</t>
  </si>
  <si>
    <t>English</t>
  </si>
  <si>
    <t>Computer Applications</t>
  </si>
  <si>
    <t>Other</t>
  </si>
  <si>
    <t>These lists feed the dropdowns on the QUIZ sheet and the AI QUESTION GENERATOR. Subject, Difficulty, and Question Count control which active questions are drawn. Answer Options (A-D) are the only values a student can enter. Generator lists on the right are used only when building an AI prompt. Only rows with Active = Yes are eligible for a quiz.</t>
  </si>
  <si>
    <t>lstSubjects = A2:A11    lstDifficulty = C2:C5    lstCount = E2:E5    lstAnswers = G2:G5</t>
  </si>
  <si>
    <t>Generator Difficulty</t>
  </si>
  <si>
    <t>Mixed</t>
  </si>
  <si>
    <t>Generator Count</t>
  </si>
  <si>
    <t>Question Type</t>
  </si>
  <si>
    <t>Multiple Choice</t>
  </si>
  <si>
    <t>Question Style</t>
  </si>
  <si>
    <t>Conceptual</t>
  </si>
  <si>
    <t>Calculation</t>
  </si>
  <si>
    <t>Exam Style</t>
  </si>
  <si>
    <t>AI QUESTION GENERATOR</t>
  </si>
  <si>
    <t>Build a copy-ready prompt, ask an AI for tab-separated rows, then paste those rows at the bottom of tblQuestions.</t>
  </si>
  <si>
    <t>SUBJECT</t>
  </si>
  <si>
    <t>TOPIC</t>
  </si>
  <si>
    <t>SUBTOPIC</t>
  </si>
  <si>
    <t>DIFFICULTY</t>
  </si>
  <si>
    <t>NUMBER OF QUESTIONS</t>
  </si>
  <si>
    <t>QUESTION TYPE</t>
  </si>
  <si>
    <t>TARGET QUESTION IDs</t>
  </si>
  <si>
    <t>GENERATED QUESTION STYLE</t>
  </si>
  <si>
    <t>SPECIAL INSTRUCTIONS</t>
  </si>
  <si>
    <t>Focus on integration by substitution and basic definite integrals.</t>
  </si>
  <si>
    <t>Prefix</t>
  </si>
  <si>
    <t>MATH</t>
  </si>
  <si>
    <t>ACC</t>
  </si>
  <si>
    <t>ECO</t>
  </si>
  <si>
    <t>XLS</t>
  </si>
  <si>
    <t>PPT</t>
  </si>
  <si>
    <t>BUS</t>
  </si>
  <si>
    <t>ENG</t>
  </si>
  <si>
    <t>CAP</t>
  </si>
  <si>
    <t>OTH</t>
  </si>
  <si>
    <t>GENERATED AI PROMPT</t>
  </si>
  <si>
    <t>PASTE GENERATED QUESTIONS HERE</t>
  </si>
  <si>
    <t>Excel 2021 cannot import this automatically. 1) Fill the blue inputs. 2) Copy the GENERATED AI PROMPT. 3) Give it to Grok or another AI. 4) Copy the tab-separated rows. 5) Paste them directly under the last row of tblQuestions on QUESTION_BANK. The table and quiz pick up new Active = Yes rows. The grid below is only a staging check, not a second database.</t>
  </si>
  <si>
    <t>LATEST QUESTIONS IN QUESTION_BANK</t>
  </si>
  <si>
    <t>AI GENERATOR</t>
  </si>
  <si>
    <t>MATH001</t>
  </si>
  <si>
    <t>Using substitution, evaluate the indefinite integral of 2x(x^2+1)^3.</t>
  </si>
  <si>
    <t>(x^2+1)^4 / 4 + C</t>
  </si>
  <si>
    <t>(x^2+1)^3 / 3 + C</t>
  </si>
  <si>
    <t>2(x^2+1)^4 + C</t>
  </si>
  <si>
    <t>x^2(x^2+1)^4 + C</t>
  </si>
  <si>
    <t>Let u = x^2+1, so du = 2x dx. The integral is u^4/4 + C.</t>
  </si>
  <si>
    <t>MATH002</t>
  </si>
  <si>
    <t>Using substitution, evaluate the indefinite integral of 2x e^(x^2).</t>
  </si>
  <si>
    <t>e^(x^2) + C</t>
  </si>
  <si>
    <t>2e^(x^2) + C</t>
  </si>
  <si>
    <t>x e^(x^2) + C</t>
  </si>
  <si>
    <t>e^(2x) + C</t>
  </si>
  <si>
    <t>Let u = x^2, so du = 2x dx. The integral is e^u + C = e^(x^2) + C.</t>
  </si>
  <si>
    <t>MATH003</t>
  </si>
  <si>
    <t>Evaluate the definite integral of 2x from 0 to 1.</t>
  </si>
  <si>
    <t>1</t>
  </si>
  <si>
    <t>0</t>
  </si>
  <si>
    <t>The antiderivative is x^2. From 0 to 1 this is 1 - 0 = 1.</t>
  </si>
  <si>
    <t>MATH004</t>
  </si>
  <si>
    <t>Evaluate the definite integral of 3x^2 from 0 to 2.</t>
  </si>
  <si>
    <t>The antiderivative is x^3. At 2 this is 8, and at 0 it is 0.</t>
  </si>
  <si>
    <t>MATH005</t>
  </si>
  <si>
    <t>Using substitution, evaluate the indefinite integral of 2x/(x^2+1).</t>
  </si>
  <si>
    <t>ln|x^2+1| + C</t>
  </si>
  <si>
    <t>2 ln|x^2+1| + C</t>
  </si>
  <si>
    <t>ln|2x| + C</t>
  </si>
  <si>
    <t>arctan(x^2) + C</t>
  </si>
  <si>
    <t>Let u = x^2+1, so du = 2x dx. The integral is ln|u| + C.</t>
  </si>
  <si>
    <t>MATH006</t>
  </si>
  <si>
    <t>Evaluate the definite integral of 1/x from 1 to e.</t>
  </si>
  <si>
    <t>e</t>
  </si>
  <si>
    <t>e-1</t>
  </si>
  <si>
    <t>The antiderivative is ln|x|. ln(e) - ln(1) = 1 - 0 = 1.</t>
  </si>
  <si>
    <t>MATH007</t>
  </si>
  <si>
    <t>Using the substitution u = sin(x), evaluate the indefinite integral of sin(x)cos(x).</t>
  </si>
  <si>
    <t>(1/2) sin^2(x) + C</t>
  </si>
  <si>
    <t>sin^2(x) + C</t>
  </si>
  <si>
    <t>cos^2(x) + C</t>
  </si>
  <si>
    <t>negative cos(x) + C</t>
  </si>
  <si>
    <t>du = cos(x) dx, so the integral is u^2/2 + C = (1/2) sin^2(x) + C.</t>
  </si>
  <si>
    <t>MATH008</t>
  </si>
  <si>
    <t>Using substitution, evaluate the definite integral of 2x(x^2+1)^2 from 0 to 1.</t>
  </si>
  <si>
    <t>7/3</t>
  </si>
  <si>
    <t>8/3</t>
  </si>
  <si>
    <t>Let u = x^2+1. Limits change from 1 to 2. The integral of u^2 is 8/3 - 1/3 = 7/3.</t>
  </si>
  <si>
    <t>MATH009</t>
  </si>
  <si>
    <t>Using substitution, evaluate the indefinite integral of x / sqrt(x^2+1).</t>
  </si>
  <si>
    <t>sqrt(x^2+1) + C</t>
  </si>
  <si>
    <t>2 sqrt(x^2+1) + C</t>
  </si>
  <si>
    <t>(x^2+1)^(3/2) / 3 + C</t>
  </si>
  <si>
    <t>Let u = x^2+1, so du = 2x dx and x dx = du/2. The integral is sqrt(u) + C.</t>
  </si>
  <si>
    <t>MATH010</t>
  </si>
  <si>
    <t>Evaluate the definite integral of cos(x) from 0 to pi/2.</t>
  </si>
  <si>
    <t>pi/2</t>
  </si>
  <si>
    <t>negative 1</t>
  </si>
  <si>
    <t>The antiderivative is sin(x). sin(pi/2) - sin(0) = 1 - 0 = 1.</t>
  </si>
  <si>
    <t>WEAK TOPIC PRACTICE</t>
  </si>
  <si>
    <t>Topics are scored from the current quiz. History stores subject only, so topic accuracy updates after each quiz. Copy the green rows into the log to keep a running record.</t>
  </si>
  <si>
    <t>YOUR WEAKEST TOPICS</t>
  </si>
  <si>
    <t>Performance</t>
  </si>
  <si>
    <t>Priority</t>
  </si>
  <si>
    <t>Focus subtopic</t>
  </si>
  <si>
    <t>Focus topic</t>
  </si>
  <si>
    <t>Why this topic</t>
  </si>
  <si>
    <t>Practice questions</t>
  </si>
  <si>
    <t>Starting ID</t>
  </si>
  <si>
    <t>PRACTICE PROMPT — copy this cell</t>
  </si>
  <si>
    <t>ADD CURRENT QUIZ TOPICS TO THE LOG</t>
  </si>
  <si>
    <t>Quiz history stores subject only, not topic. Copy these green rows and Paste Values under the log to build a running record. A topic is classified only after 5 attempted questions; fewer stay Watch.</t>
  </si>
  <si>
    <t>Attempted</t>
  </si>
  <si>
    <t>Paste rows above this line</t>
  </si>
  <si>
    <t>WEAK TOPICS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</si>
</sst>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yy"/>
  </numFmts>
  <fonts count="26" x14ac:knownFonts="1">
    <font>
      <sz val="11"/>
      <color theme="1"/>
      <name val="Calibri"/>
      <family val="2"/>
      <scheme val="minor"/>
    </font>
    <font>
      <b/>
      <sz val="11"/>
      <color theme="1"/>
      <name val="Calibri"/>
      <family val="2"/>
      <scheme val="minor"/>
    </font>
    <font>
      <u/>
      <sz val="11"/>
      <color theme="10"/>
      <name val="Calibri"/>
      <family val="2"/>
      <scheme val="minor"/>
    </font>
    <font>
      <b/>
      <sz val="12"/>
      <color rgb="FFFFFFFF"/>
      <name val="Calibri"/>
      <family val="2"/>
      <scheme val="minor"/>
    </font>
    <font>
      <b/>
      <sz val="14"/>
      <color rgb="FFFFFFFF"/>
      <name val="Calibri"/>
      <family val="2"/>
      <scheme val="minor"/>
    </font>
    <font>
      <sz val="11"/>
      <color rgb="FF1B365D"/>
      <name val="Calibri"/>
      <family val="2"/>
      <scheme val="minor"/>
    </font>
    <font>
      <b/>
      <u/>
      <sz val="11"/>
      <color rgb="FF1B365D"/>
      <name val="Calibri"/>
      <family val="2"/>
      <scheme val="minor"/>
    </font>
    <font>
      <b/>
      <u/>
      <sz val="12"/>
      <color rgb="FF1B365D"/>
      <name val="Calibri"/>
      <family val="2"/>
      <scheme val="minor"/>
    </font>
    <font>
      <b/>
      <sz val="22"/>
      <color rgb="FFFFFFFF"/>
      <name val="Calibri"/>
      <family val="2"/>
      <scheme val="minor"/>
    </font>
    <font>
      <b/>
      <sz val="22"/>
      <color rgb="FFFFFFFF"/>
      <name val="Calibri"/>
      <family val="2"/>
      <scheme val="minor"/>
    </font>
    <font>
      <i/>
      <sz val="12"/>
      <color rgb="FF1B365D"/>
      <name val="Calibri"/>
      <family val="2"/>
      <scheme val="minor"/>
    </font>
    <font>
      <b/>
      <sz val="11"/>
      <color rgb="FFFFFFFF"/>
      <name val="Calibri"/>
      <family val="2"/>
      <scheme val="minor"/>
    </font>
    <font>
      <b/>
      <sz val="11"/>
      <color rgb="FF0000FF"/>
      <name val="Calibri"/>
      <family val="2"/>
      <scheme val="minor"/>
    </font>
    <font>
      <i/>
      <sz val="10"/>
      <color rgb="FF595959"/>
      <name val="Calibri"/>
      <family val="2"/>
      <scheme val="minor"/>
    </font>
    <font>
      <b/>
      <sz val="11"/>
      <color rgb="FF1B365D"/>
      <name val="Calibri"/>
      <family val="2"/>
      <scheme val="minor"/>
    </font>
    <font>
      <b/>
      <sz val="11"/>
      <color rgb="FF006100"/>
      <name val="Calibri"/>
      <family val="2"/>
      <scheme val="minor"/>
    </font>
    <font>
      <b/>
      <sz val="11"/>
      <color rgb="FF9C0006"/>
      <name val="Calibri"/>
      <family val="2"/>
      <scheme val="minor"/>
    </font>
    <font>
      <i/>
      <sz val="11"/>
      <color rgb="FF1B365D"/>
      <name val="Calibri"/>
      <family val="2"/>
      <scheme val="minor"/>
    </font>
    <font>
      <sz val="14"/>
      <color theme="1"/>
      <name val="Calibri"/>
      <family val="2"/>
      <scheme val="minor"/>
    </font>
    <font>
      <b/>
      <sz val="16"/>
      <color rgb="FF1B365D"/>
      <name val="Calibri"/>
      <family val="2"/>
      <scheme val="minor"/>
    </font>
    <font>
      <b/>
      <u/>
      <sz val="11"/>
      <color rgb="FFFFFFFF"/>
      <name val="Calibri"/>
      <family val="2"/>
      <scheme val="minor"/>
    </font>
    <font>
      <sz val="11"/>
      <color rgb="FF000000"/>
      <name val="Calibri"/>
      <family val="2"/>
      <scheme val="minor"/>
    </font>
    <font>
      <b/>
      <sz val="24"/>
      <color rgb="FFFFFFFF"/>
      <name val="Calibri"/>
      <family val="2"/>
      <scheme val="minor"/>
    </font>
    <font>
      <b/>
      <u/>
      <sz val="14"/>
      <color rgb="FFFFFFFF"/>
      <name val="Calibri"/>
      <family val="2"/>
      <scheme val="minor"/>
    </font>
    <font>
      <b/>
      <sz val="11"/>
      <color rgb="FF7B2D3B"/>
      <name val="Calibri"/>
      <family val="2"/>
      <scheme val="minor"/>
    </font>
    <font>
      <b/>
      <sz val="11"/>
      <color rgb="FF1F6B4A"/>
      <name val="Calibri"/>
      <family val="2"/>
      <scheme val="minor"/>
    </font>
  </fonts>
  <fills count="23">
    <fill>
      <patternFill patternType="none"/>
    </fill>
    <fill>
      <patternFill patternType="gray125"/>
    </fill>
    <fill>
      <patternFill patternType="solid">
        <fgColor rgb="FF1B365D"/>
        <bgColor indexed="64"/>
      </patternFill>
    </fill>
    <fill>
      <patternFill patternType="solid">
        <fgColor rgb="FFC6EFCE"/>
        <bgColor indexed="64"/>
      </patternFill>
    </fill>
    <fill>
      <patternFill patternType="solid">
        <fgColor rgb="FFFFEB9C"/>
        <bgColor indexed="64"/>
      </patternFill>
    </fill>
    <fill>
      <patternFill patternType="solid">
        <fgColor rgb="FFE8EEF4"/>
        <bgColor indexed="64"/>
      </patternFill>
    </fill>
    <fill>
      <patternFill patternType="solid">
        <fgColor rgb="FFE6F0FA"/>
        <bgColor indexed="64"/>
      </patternFill>
    </fill>
    <fill>
      <patternFill patternType="solid">
        <fgColor rgb="FFFFF8E8"/>
        <bgColor indexed="64"/>
      </patternFill>
    </fill>
    <fill>
      <patternFill patternType="solid">
        <fgColor rgb="FF2F5496"/>
        <bgColor indexed="64"/>
      </patternFill>
    </fill>
    <fill>
      <patternFill patternType="solid">
        <fgColor rgb="FFF7F9FC"/>
        <bgColor indexed="64"/>
      </patternFill>
    </fill>
    <fill>
      <patternFill patternType="solid">
        <fgColor rgb="FF1F6B4A"/>
        <bgColor indexed="64"/>
      </patternFill>
    </fill>
    <fill>
      <patternFill patternType="solid">
        <fgColor rgb="FFC4A35A"/>
        <bgColor indexed="64"/>
      </patternFill>
    </fill>
    <fill>
      <patternFill patternType="solid">
        <fgColor rgb="FF0D7377"/>
        <bgColor indexed="64"/>
      </patternFill>
    </fill>
    <fill>
      <patternFill patternType="solid">
        <fgColor rgb="FFE6F4F4"/>
        <bgColor indexed="64"/>
      </patternFill>
    </fill>
    <fill>
      <patternFill patternType="solid">
        <fgColor rgb="FF7B2D3B"/>
        <bgColor indexed="64"/>
      </patternFill>
    </fill>
    <fill>
      <patternFill patternType="solid">
        <fgColor rgb="FFF8EEF0"/>
        <bgColor indexed="64"/>
      </patternFill>
    </fill>
    <fill>
      <patternFill patternType="solid">
        <fgColor rgb="FFE8F5EE"/>
        <bgColor indexed="64"/>
      </patternFill>
    </fill>
    <fill>
      <patternFill patternType="solid">
        <fgColor rgb="FFF4F7FB"/>
        <bgColor indexed="64"/>
      </patternFill>
    </fill>
    <fill>
      <patternFill patternType="solid">
        <fgColor rgb="FF5C5C5C"/>
        <bgColor indexed="64"/>
      </patternFill>
    </fill>
    <fill>
      <patternFill patternType="solid">
        <fgColor rgb="FF6B4C9A"/>
        <bgColor indexed="64"/>
      </patternFill>
    </fill>
    <fill>
      <patternFill patternType="solid">
        <fgColor rgb="FF9C5700"/>
        <bgColor indexed="64"/>
      </patternFill>
    </fill>
    <fill>
      <patternFill patternType="solid">
        <fgColor rgb="FFF3EEF8"/>
        <bgColor indexed="64"/>
      </patternFill>
    </fill>
    <fill>
      <patternFill patternType="solid">
        <fgColor rgb="FFFFF6E8"/>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1">
    <xf numFmtId="0" fontId="0" fillId="0" borderId="0" xfId="0"/>
    <xf numFmtId="0" fontId="3" fillId="2" borderId="0" xfId="0" applyFont="1" applyFill="1"/>
    <xf numFmtId="0" fontId="0" fillId="0" borderId="0" xfId="0" applyAlignment="1">
      <alignment wrapText="1"/>
    </xf>
    <xf numFmtId="16" fontId="0" fillId="0" borderId="0" xfId="0" applyNumberFormat="1"/>
    <xf numFmtId="49" fontId="0" fillId="0" borderId="0" xfId="0" applyNumberFormat="1" applyAlignment="1">
      <alignment wrapText="1"/>
    </xf>
    <xf numFmtId="0" fontId="6" fillId="0" borderId="0" xfId="1" applyFont="1"/>
    <xf numFmtId="0" fontId="7" fillId="0" borderId="0" xfId="1" applyFont="1" applyAlignment="1">
      <alignment wrapText="1"/>
    </xf>
    <xf numFmtId="164" fontId="0" fillId="0" borderId="0" xfId="0" applyNumberFormat="1"/>
    <xf numFmtId="0" fontId="1" fillId="0" borderId="0" xfId="0" applyFont="1"/>
    <xf numFmtId="0" fontId="11" fillId="2" borderId="0" xfId="0" applyFont="1" applyFill="1"/>
    <xf numFmtId="0" fontId="11" fillId="2" borderId="0" xfId="0" applyFont="1" applyFill="1" applyAlignment="1">
      <alignment horizontal="center"/>
    </xf>
    <xf numFmtId="0" fontId="12" fillId="6" borderId="0" xfId="0" applyFont="1" applyFill="1" applyAlignment="1">
      <alignment horizontal="center"/>
    </xf>
    <xf numFmtId="0" fontId="11" fillId="8" borderId="0" xfId="0" applyFont="1" applyFill="1"/>
    <xf numFmtId="0" fontId="11" fillId="8" borderId="0" xfId="0" applyFont="1" applyFill="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wrapText="1"/>
    </xf>
    <xf numFmtId="0" fontId="1" fillId="5" borderId="0" xfId="0" applyFont="1" applyFill="1"/>
    <xf numFmtId="164" fontId="0" fillId="0" borderId="0" xfId="0" applyNumberFormat="1" applyAlignment="1">
      <alignment horizontal="center"/>
    </xf>
    <xf numFmtId="0" fontId="1" fillId="9" borderId="0" xfId="0" applyFont="1" applyFill="1" applyAlignment="1">
      <alignment horizontal="center"/>
    </xf>
    <xf numFmtId="164" fontId="1" fillId="9" borderId="0" xfId="0" applyNumberFormat="1" applyFont="1" applyFill="1" applyAlignment="1">
      <alignment horizontal="center"/>
    </xf>
    <xf numFmtId="0" fontId="15" fillId="9" borderId="0" xfId="0" applyFont="1" applyFill="1" applyAlignment="1">
      <alignment horizontal="center"/>
    </xf>
    <xf numFmtId="0" fontId="16" fillId="9" borderId="0" xfId="0" applyFont="1" applyFill="1" applyAlignment="1">
      <alignment horizontal="center"/>
    </xf>
    <xf numFmtId="0" fontId="6" fillId="5" borderId="0" xfId="1" applyFont="1" applyFill="1"/>
    <xf numFmtId="165" fontId="0" fillId="0" borderId="0" xfId="0" applyNumberFormat="1"/>
    <xf numFmtId="0" fontId="0" fillId="5" borderId="0" xfId="0" applyFill="1"/>
    <xf numFmtId="0" fontId="1" fillId="4" borderId="0" xfId="0" applyFont="1" applyFill="1"/>
    <xf numFmtId="0" fontId="11" fillId="10" borderId="0" xfId="0" applyFont="1" applyFill="1"/>
    <xf numFmtId="0" fontId="15" fillId="3" borderId="0" xfId="0" applyFont="1" applyFill="1"/>
    <xf numFmtId="165" fontId="15" fillId="3" borderId="0" xfId="0" applyNumberFormat="1" applyFont="1" applyFill="1"/>
    <xf numFmtId="164" fontId="15" fillId="3" borderId="0" xfId="0" applyNumberFormat="1" applyFont="1" applyFill="1"/>
    <xf numFmtId="0" fontId="11" fillId="2" borderId="0" xfId="0" applyFont="1" applyFill="1" applyAlignment="1">
      <alignment horizontal="center" wrapText="1"/>
    </xf>
    <xf numFmtId="0" fontId="19" fillId="5" borderId="0" xfId="0" applyFont="1" applyFill="1" applyAlignment="1">
      <alignment horizontal="center"/>
    </xf>
    <xf numFmtId="164" fontId="19" fillId="5" borderId="0" xfId="0" applyNumberFormat="1" applyFont="1" applyFill="1" applyAlignment="1">
      <alignment horizontal="center"/>
    </xf>
    <xf numFmtId="164" fontId="1" fillId="0" borderId="0" xfId="0" applyNumberFormat="1" applyFont="1"/>
    <xf numFmtId="0" fontId="14" fillId="0" borderId="0" xfId="0" applyFont="1"/>
    <xf numFmtId="164" fontId="14" fillId="0" borderId="0" xfId="0" applyNumberFormat="1" applyFont="1"/>
    <xf numFmtId="0" fontId="4" fillId="2" borderId="0" xfId="0" applyFont="1" applyFill="1"/>
    <xf numFmtId="0" fontId="21" fillId="0" borderId="0" xfId="0" applyFont="1"/>
    <xf numFmtId="0" fontId="12" fillId="6" borderId="0" xfId="0" applyFont="1" applyFill="1"/>
    <xf numFmtId="0" fontId="14" fillId="5" borderId="0" xfId="0" applyFont="1" applyFill="1"/>
    <xf numFmtId="0" fontId="20" fillId="2" borderId="0" xfId="1" applyFont="1" applyFill="1" applyAlignment="1">
      <alignment horizontal="center"/>
    </xf>
    <xf numFmtId="164" fontId="1" fillId="4" borderId="0" xfId="0" applyNumberFormat="1" applyFont="1" applyFill="1"/>
    <xf numFmtId="0" fontId="0" fillId="3" borderId="0" xfId="0" applyFill="1"/>
    <xf numFmtId="164" fontId="0" fillId="3" borderId="0" xfId="0" applyNumberFormat="1" applyFill="1"/>
    <xf numFmtId="165" fontId="0" fillId="3" borderId="0" xfId="0" applyNumberFormat="1" applyFill="1"/>
    <xf numFmtId="0" fontId="11" fillId="2" borderId="0" xfId="0" applyFont="1" applyFill="1"/>
    <xf numFmtId="0" fontId="0" fillId="0" borderId="0" xfId="0" applyAlignment="1">
      <alignment wrapText="1"/>
    </xf>
    <xf numFmtId="0" fontId="0" fillId="0" borderId="0" xfId="0"/>
    <xf numFmtId="0" fontId="0" fillId="5" borderId="0" xfId="0" applyFill="1"/>
    <xf numFmtId="0" fontId="0" fillId="9" borderId="0" xfId="0" applyFill="1" applyAlignment="1">
      <alignment vertical="top" wrapText="1"/>
    </xf>
    <xf numFmtId="0" fontId="0" fillId="9" borderId="0" xfId="0" applyFill="1"/>
    <xf numFmtId="0" fontId="11" fillId="2" borderId="0" xfId="0" applyFont="1" applyFill="1" applyAlignment="1">
      <alignment horizontal="center"/>
    </xf>
    <xf numFmtId="0" fontId="0" fillId="7" borderId="0" xfId="0" applyFill="1"/>
    <xf numFmtId="0" fontId="0" fillId="2" borderId="0" xfId="0" applyFill="1" applyAlignment="1">
      <alignment horizontal="center" vertical="center"/>
    </xf>
    <xf numFmtId="0" fontId="5" fillId="5" borderId="0" xfId="0" applyFont="1" applyFill="1" applyAlignment="1">
      <alignment vertical="center" wrapText="1"/>
    </xf>
    <xf numFmtId="0" fontId="6" fillId="0" borderId="0" xfId="1" applyFont="1"/>
    <xf numFmtId="0" fontId="12" fillId="6" borderId="0" xfId="0" applyFont="1" applyFill="1" applyAlignment="1">
      <alignment horizontal="center"/>
    </xf>
    <xf numFmtId="0" fontId="0" fillId="0" borderId="0" xfId="0" applyAlignment="1">
      <alignment vertical="center" wrapText="1"/>
    </xf>
    <xf numFmtId="0" fontId="13" fillId="0" borderId="0" xfId="0" applyFont="1"/>
    <xf numFmtId="0" fontId="14" fillId="7" borderId="0" xfId="0" applyFont="1" applyFill="1"/>
    <xf numFmtId="0" fontId="11" fillId="8" borderId="0" xfId="0" applyFont="1" applyFill="1" applyAlignment="1">
      <alignment horizontal="center"/>
    </xf>
    <xf numFmtId="0" fontId="12" fillId="6" borderId="0" xfId="0" applyFont="1" applyFill="1" applyAlignment="1">
      <alignment vertical="top" wrapText="1"/>
    </xf>
    <xf numFmtId="0" fontId="11" fillId="10" borderId="0" xfId="0" applyFont="1" applyFill="1"/>
    <xf numFmtId="0" fontId="14" fillId="9" borderId="0" xfId="0" applyFont="1" applyFill="1"/>
    <xf numFmtId="0" fontId="18" fillId="9" borderId="0" xfId="0" applyFont="1" applyFill="1" applyAlignment="1">
      <alignment vertical="center" wrapText="1"/>
    </xf>
    <xf numFmtId="0" fontId="15" fillId="9" borderId="0" xfId="0" applyFont="1" applyFill="1"/>
    <xf numFmtId="0" fontId="16" fillId="9" borderId="0" xfId="0" applyFont="1" applyFill="1"/>
    <xf numFmtId="164" fontId="14" fillId="9" borderId="0" xfId="0" applyNumberFormat="1" applyFont="1" applyFill="1"/>
    <xf numFmtId="0" fontId="0" fillId="7" borderId="0" xfId="0" applyFill="1" applyAlignment="1">
      <alignment vertical="center" wrapText="1"/>
    </xf>
    <xf numFmtId="0" fontId="11" fillId="8" borderId="0" xfId="0" applyFont="1" applyFill="1"/>
    <xf numFmtId="0" fontId="4" fillId="2" borderId="0" xfId="0" applyFont="1" applyFill="1"/>
    <xf numFmtId="0" fontId="22" fillId="2" borderId="0" xfId="0" applyFont="1" applyFill="1" applyAlignment="1">
      <alignment horizontal="center" vertical="center" wrapText="1"/>
    </xf>
    <xf numFmtId="0" fontId="0" fillId="11" borderId="0" xfId="0" applyFill="1"/>
    <xf numFmtId="0" fontId="11" fillId="12" borderId="0" xfId="0" applyFont="1" applyFill="1" applyAlignment="1">
      <alignment horizontal="center"/>
    </xf>
    <xf numFmtId="0" fontId="23" fillId="12" borderId="0" xfId="1" applyFont="1" applyFill="1" applyAlignment="1">
      <alignment horizontal="center"/>
    </xf>
    <xf numFmtId="0" fontId="0" fillId="13" borderId="0" xfId="0" applyFill="1" applyAlignment="1">
      <alignment wrapText="1"/>
    </xf>
    <xf numFmtId="0" fontId="0" fillId="13" borderId="0" xfId="0" applyFill="1"/>
    <xf numFmtId="0" fontId="11" fillId="14" borderId="0" xfId="0" applyFont="1" applyFill="1" applyAlignment="1">
      <alignment horizontal="center"/>
    </xf>
    <xf numFmtId="0" fontId="23" fillId="14" borderId="0" xfId="1" applyFont="1" applyFill="1" applyAlignment="1">
      <alignment horizontal="center"/>
    </xf>
    <xf numFmtId="0" fontId="0" fillId="15" borderId="0" xfId="0" applyFill="1"/>
    <xf numFmtId="0" fontId="14" fillId="15" borderId="0" xfId="0" applyFont="1" applyFill="1"/>
    <xf numFmtId="164" fontId="14" fillId="15" borderId="0" xfId="0" applyNumberFormat="1" applyFont="1" applyFill="1"/>
    <xf numFmtId="0" fontId="24" fillId="15" borderId="0" xfId="0" applyFont="1" applyFill="1"/>
    <xf numFmtId="0" fontId="11" fillId="10" borderId="0" xfId="0" applyFont="1" applyFill="1" applyAlignment="1">
      <alignment horizontal="center"/>
    </xf>
    <xf numFmtId="0" fontId="23" fillId="10" borderId="0" xfId="1" applyFont="1" applyFill="1" applyAlignment="1">
      <alignment horizontal="center"/>
    </xf>
    <xf numFmtId="0" fontId="0" fillId="16" borderId="0" xfId="0" applyFill="1"/>
    <xf numFmtId="0" fontId="14" fillId="16" borderId="0" xfId="0" applyFont="1" applyFill="1"/>
    <xf numFmtId="164" fontId="14" fillId="16" borderId="0" xfId="0" applyNumberFormat="1" applyFont="1" applyFill="1"/>
    <xf numFmtId="0" fontId="25" fillId="16" borderId="0" xfId="0" applyFont="1" applyFill="1"/>
    <xf numFmtId="0" fontId="4" fillId="8" borderId="0" xfId="0" applyFont="1" applyFill="1" applyAlignment="1">
      <alignment horizontal="center"/>
    </xf>
    <xf numFmtId="0" fontId="0" fillId="17" borderId="0" xfId="0" applyFill="1" applyAlignment="1">
      <alignment vertical="top" wrapText="1"/>
    </xf>
    <xf numFmtId="0" fontId="0" fillId="17" borderId="0" xfId="0" applyFill="1"/>
    <xf numFmtId="0" fontId="20" fillId="12" borderId="0" xfId="1" applyFont="1" applyFill="1" applyAlignment="1">
      <alignment horizontal="center"/>
    </xf>
    <xf numFmtId="0" fontId="20" fillId="18" borderId="0" xfId="1" applyFont="1" applyFill="1" applyAlignment="1">
      <alignment horizontal="center"/>
    </xf>
    <xf numFmtId="0" fontId="20" fillId="14" borderId="0" xfId="1" applyFont="1" applyFill="1" applyAlignment="1">
      <alignment horizontal="center"/>
    </xf>
    <xf numFmtId="0" fontId="20" fillId="10" borderId="0" xfId="1" applyFont="1" applyFill="1" applyAlignment="1">
      <alignment horizontal="center"/>
    </xf>
    <xf numFmtId="0" fontId="20" fillId="19" borderId="0" xfId="1" applyFont="1" applyFill="1"/>
    <xf numFmtId="0" fontId="20" fillId="19" borderId="0" xfId="1" applyFont="1" applyFill="1" applyAlignment="1">
      <alignment horizontal="center"/>
    </xf>
    <xf numFmtId="0" fontId="20" fillId="20" borderId="0" xfId="1" applyFont="1" applyFill="1" applyAlignment="1">
      <alignment horizontal="center"/>
    </xf>
    <xf numFmtId="0" fontId="9" fillId="12" borderId="0" xfId="0" applyFont="1" applyFill="1" applyAlignment="1">
      <alignment horizontal="center" vertical="center"/>
    </xf>
    <xf numFmtId="0" fontId="10" fillId="13" borderId="0" xfId="0" applyFont="1" applyFill="1" applyAlignment="1">
      <alignment horizontal="center"/>
    </xf>
    <xf numFmtId="0" fontId="11" fillId="11" borderId="0" xfId="0" applyFont="1" applyFill="1" applyAlignment="1">
      <alignment horizontal="center"/>
    </xf>
    <xf numFmtId="0" fontId="14" fillId="11" borderId="0" xfId="0" applyFont="1" applyFill="1" applyAlignment="1">
      <alignment horizontal="center"/>
    </xf>
    <xf numFmtId="0" fontId="8" fillId="14" borderId="0" xfId="0" applyFont="1" applyFill="1" applyAlignment="1">
      <alignment horizontal="center"/>
    </xf>
    <xf numFmtId="0" fontId="0" fillId="14" borderId="0" xfId="0" applyFill="1" applyAlignment="1">
      <alignment horizontal="center"/>
    </xf>
    <xf numFmtId="0" fontId="17" fillId="15" borderId="0" xfId="0" applyFont="1" applyFill="1" applyAlignment="1">
      <alignment horizontal="center"/>
    </xf>
    <xf numFmtId="0" fontId="0" fillId="15" borderId="0" xfId="0" applyFill="1"/>
    <xf numFmtId="0" fontId="11" fillId="20" borderId="0" xfId="0" applyFont="1" applyFill="1" applyAlignment="1">
      <alignment horizontal="center"/>
    </xf>
    <xf numFmtId="0" fontId="14" fillId="11" borderId="0" xfId="0" applyFont="1" applyFill="1" applyAlignment="1">
      <alignment horizontal="center"/>
    </xf>
    <xf numFmtId="0" fontId="8" fillId="10" borderId="0" xfId="0" applyFont="1" applyFill="1" applyAlignment="1">
      <alignment horizontal="center"/>
    </xf>
    <xf numFmtId="0" fontId="0" fillId="10" borderId="0" xfId="0" applyFill="1" applyAlignment="1">
      <alignment horizontal="center"/>
    </xf>
    <xf numFmtId="0" fontId="17" fillId="16" borderId="0" xfId="0" applyFont="1" applyFill="1" applyAlignment="1">
      <alignment horizontal="center"/>
    </xf>
    <xf numFmtId="0" fontId="0" fillId="16" borderId="0" xfId="0" applyFill="1"/>
    <xf numFmtId="0" fontId="11" fillId="12" borderId="0" xfId="0" applyFont="1" applyFill="1" applyAlignment="1">
      <alignment horizontal="center" wrapText="1"/>
    </xf>
    <xf numFmtId="0" fontId="11" fillId="8" borderId="0" xfId="0" applyFont="1" applyFill="1" applyAlignment="1">
      <alignment horizontal="center" wrapText="1"/>
    </xf>
    <xf numFmtId="0" fontId="14" fillId="11" borderId="0" xfId="0" applyFont="1" applyFill="1" applyAlignment="1">
      <alignment horizontal="center" wrapText="1"/>
    </xf>
    <xf numFmtId="0" fontId="11" fillId="10" borderId="0" xfId="0" applyFont="1" applyFill="1" applyAlignment="1">
      <alignment horizontal="center" wrapText="1"/>
    </xf>
    <xf numFmtId="0" fontId="11" fillId="14" borderId="0" xfId="0" applyFont="1" applyFill="1" applyAlignment="1">
      <alignment horizontal="center" wrapText="1"/>
    </xf>
    <xf numFmtId="0" fontId="11" fillId="12" borderId="0" xfId="0" applyFont="1" applyFill="1"/>
    <xf numFmtId="0" fontId="11" fillId="14" borderId="0" xfId="0" applyFont="1" applyFill="1"/>
    <xf numFmtId="0" fontId="8" fillId="19" borderId="0" xfId="0" applyFont="1" applyFill="1" applyAlignment="1">
      <alignment horizontal="center"/>
    </xf>
    <xf numFmtId="0" fontId="0" fillId="19" borderId="0" xfId="0" applyFill="1" applyAlignment="1">
      <alignment horizontal="center"/>
    </xf>
    <xf numFmtId="0" fontId="17" fillId="21" borderId="0" xfId="0" applyFont="1" applyFill="1" applyAlignment="1">
      <alignment wrapText="1"/>
    </xf>
    <xf numFmtId="0" fontId="0" fillId="21" borderId="0" xfId="0" applyFill="1"/>
    <xf numFmtId="0" fontId="11" fillId="19" borderId="0" xfId="0" applyFont="1" applyFill="1"/>
    <xf numFmtId="0" fontId="8" fillId="20" borderId="0" xfId="0" applyFont="1" applyFill="1" applyAlignment="1">
      <alignment horizontal="center"/>
    </xf>
    <xf numFmtId="0" fontId="0" fillId="20" borderId="0" xfId="0" applyFill="1" applyAlignment="1">
      <alignment horizontal="center"/>
    </xf>
    <xf numFmtId="0" fontId="17" fillId="22" borderId="0" xfId="0" applyFont="1" applyFill="1" applyAlignment="1">
      <alignment wrapText="1"/>
    </xf>
    <xf numFmtId="0" fontId="0" fillId="22" borderId="0" xfId="0" applyFill="1"/>
    <xf numFmtId="0" fontId="11" fillId="20" borderId="0" xfId="0" applyFont="1" applyFill="1"/>
  </cellXfs>
  <cellStyles count="2">
    <cellStyle name="Hyperlink" xfId="1" builtinId="8"/>
    <cellStyle name="Normal" xfId="0" builtinId="0"/>
  </cellStyles>
  <dxfs count="37">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595959"/>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595959"/>
      </font>
      <fill>
        <patternFill patternType="solid">
          <fgColor indexed="64"/>
          <bgColor rgb="FFF2F2F2"/>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numFmt numFmtId="21" formatCode="d\-mmm"/>
    </dxf>
    <dxf>
      <numFmt numFmtId="164" formatCode="0.0%"/>
    </dxf>
    <dxf>
      <numFmt numFmtId="165" formatCode="mm/dd/yyyy"/>
    </dxf>
    <dxf>
      <numFmt numFmtId="0" formatCode="General"/>
      <alignment wrapText="1"/>
    </dxf>
    <dxf>
      <numFmt numFmtId="0" formatCode="General"/>
      <alignment wrapText="1"/>
    </dxf>
    <dxf>
      <numFmt numFmtId="0" formatCode="General"/>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Accuracy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Accuracy</c:v>
          </c:tx>
          <c:spPr>
            <a:ln w="28575" cap="rnd">
              <a:solidFill>
                <a:srgbClr val="1B365D"/>
              </a:solidFill>
              <a:prstDash val="solid"/>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PROGRESS!$B$25:$B$30</c:f>
              <c:strCache>
                <c:ptCount val="6"/>
                <c:pt idx="0">
                  <c:v>2026-08-31T18:30:00.000Z</c:v>
                </c:pt>
                <c:pt idx="1">
                  <c:v>2026-09-07T18:30:00.000Z</c:v>
                </c:pt>
                <c:pt idx="2">
                  <c:v>2026-09-14T18:30:00.000Z</c:v>
                </c:pt>
                <c:pt idx="3">
                  <c:v>2026-09-21T18:30:00.000Z</c:v>
                </c:pt>
                <c:pt idx="4">
                  <c:v>2026-09-28T18:30:00.000Z</c:v>
                </c:pt>
                <c:pt idx="5">
                  <c:v>2026-10-01T18:30:00.000Z</c:v>
                </c:pt>
              </c:strCache>
            </c:strRef>
          </c:cat>
          <c:val>
            <c:numRef>
              <c:f>PROGRESS!$H$25:$H$30</c:f>
              <c:numCache>
                <c:formatCode>0.0%</c:formatCode>
                <c:ptCount val="6"/>
                <c:pt idx="0">
                  <c:v>0.8</c:v>
                </c:pt>
                <c:pt idx="1">
                  <c:v>0.6</c:v>
                </c:pt>
                <c:pt idx="2">
                  <c:v>0.8</c:v>
                </c:pt>
                <c:pt idx="3">
                  <c:v>0.7</c:v>
                </c:pt>
                <c:pt idx="4">
                  <c:v>1</c:v>
                </c:pt>
                <c:pt idx="5">
                  <c:v>0.4</c:v>
                </c:pt>
              </c:numCache>
            </c:numRef>
          </c:val>
          <c:smooth val="0"/>
          <c:extLst>
            <c:ext xmlns:c16="http://schemas.microsoft.com/office/drawing/2014/chart" uri="{C3380CC4-5D6E-409C-BE32-E72D297353CC}">
              <c16:uniqueId val="{00000000-DA3F-4E49-B469-C6F9B9C88DBB}"/>
            </c:ext>
          </c:extLst>
        </c:ser>
        <c:dLbls>
          <c:showLegendKey val="0"/>
          <c:showVal val="0"/>
          <c:showCatName val="0"/>
          <c:showSerName val="0"/>
          <c:showPercent val="0"/>
          <c:showBubbleSize val="0"/>
        </c:dLbls>
        <c:marker val="1"/>
        <c:smooth val="0"/>
        <c:axId val="281684783"/>
        <c:axId val="674518383"/>
      </c:lineChart>
      <c:catAx>
        <c:axId val="2816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18383"/>
        <c:crosses val="autoZero"/>
        <c:auto val="1"/>
        <c:lblAlgn val="ctr"/>
        <c:lblOffset val="100"/>
        <c:noMultiLvlLbl val="0"/>
      </c:catAx>
      <c:valAx>
        <c:axId val="67451838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8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Accuracy by Subject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Accuracy</c:v>
          </c:tx>
          <c:spPr>
            <a:solidFill>
              <a:srgbClr val="2F5496"/>
            </a:solidFill>
            <a:ln>
              <a:noFill/>
            </a:ln>
            <a:effectLst/>
          </c:spPr>
          <c:invertIfNegative val="0"/>
          <c:cat>
            <c:strRef>
              <c:f>PROGRESS!$A$10:$A$14</c:f>
              <c:strCache>
                <c:ptCount val="5"/>
                <c:pt idx="0">
                  <c:v>Mathematics</c:v>
                </c:pt>
                <c:pt idx="1">
                  <c:v>Accounting</c:v>
                </c:pt>
                <c:pt idx="2">
                  <c:v>Economics</c:v>
                </c:pt>
                <c:pt idx="3">
                  <c:v>Excel</c:v>
                </c:pt>
                <c:pt idx="4">
                  <c:v>PowerPoint</c:v>
                </c:pt>
              </c:strCache>
            </c:strRef>
          </c:cat>
          <c:val>
            <c:numRef>
              <c:f>PROGRESS!$E$10:$E$14</c:f>
              <c:numCache>
                <c:formatCode>0.0%</c:formatCode>
                <c:ptCount val="5"/>
                <c:pt idx="0">
                  <c:v>0.6</c:v>
                </c:pt>
                <c:pt idx="1">
                  <c:v>0.6</c:v>
                </c:pt>
                <c:pt idx="2">
                  <c:v>0.8</c:v>
                </c:pt>
                <c:pt idx="3">
                  <c:v>0.7</c:v>
                </c:pt>
                <c:pt idx="4">
                  <c:v>1</c:v>
                </c:pt>
              </c:numCache>
            </c:numRef>
          </c:val>
          <c:extLst>
            <c:ext xmlns:c16="http://schemas.microsoft.com/office/drawing/2014/chart" uri="{C3380CC4-5D6E-409C-BE32-E72D297353CC}">
              <c16:uniqueId val="{00000000-9639-4ABF-B06A-152EF5150633}"/>
            </c:ext>
          </c:extLst>
        </c:ser>
        <c:dLbls>
          <c:showLegendKey val="0"/>
          <c:showVal val="0"/>
          <c:showCatName val="0"/>
          <c:showSerName val="0"/>
          <c:showPercent val="0"/>
          <c:showBubbleSize val="0"/>
        </c:dLbls>
        <c:gapWidth val="219"/>
        <c:overlap val="-27"/>
        <c:axId val="751822271"/>
        <c:axId val="674537103"/>
      </c:barChart>
      <c:catAx>
        <c:axId val="75182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37103"/>
        <c:crosses val="autoZero"/>
        <c:auto val="1"/>
        <c:lblAlgn val="ctr"/>
        <c:lblOffset val="100"/>
        <c:noMultiLvlLbl val="0"/>
      </c:catAx>
      <c:valAx>
        <c:axId val="67453710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82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0</xdr:rowOff>
    </xdr:from>
    <xdr:to>
      <xdr:col>6</xdr:col>
      <xdr:colOff>0</xdr:colOff>
      <xdr:row>48</xdr:row>
      <xdr:rowOff>0</xdr:rowOff>
    </xdr:to>
    <xdr:graphicFrame macro="">
      <xdr:nvGraphicFramePr>
        <xdr:cNvPr id="2" name="Chart 1">
          <a:extLst>
            <a:ext uri="{FF2B5EF4-FFF2-40B4-BE49-F238E27FC236}">
              <a16:creationId xmlns:a16="http://schemas.microsoft.com/office/drawing/2014/main" id="{E006CD8E-C33B-F13D-1C21-F5E9D4ECA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31</xdr:row>
      <xdr:rowOff>0</xdr:rowOff>
    </xdr:from>
    <xdr:to>
      <xdr:col>12</xdr:col>
      <xdr:colOff>1</xdr:colOff>
      <xdr:row>48</xdr:row>
      <xdr:rowOff>0</xdr:rowOff>
    </xdr:to>
    <xdr:graphicFrame macro="">
      <xdr:nvGraphicFramePr>
        <xdr:cNvPr id="3" name="Chart 2">
          <a:extLst>
            <a:ext uri="{FF2B5EF4-FFF2-40B4-BE49-F238E27FC236}">
              <a16:creationId xmlns:a16="http://schemas.microsoft.com/office/drawing/2014/main" id="{7A73E7BC-7D49-67EF-82A1-6F4721AEB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8E2E11-4684-42DA-AE49-983CC81C6CE2}" name="tblQuestions" displayName="tblQuestions" ref="A1:P60" totalsRowShown="0" headerRowDxfId="36" dataDxfId="35">
  <autoFilter ref="A1:P60" xr:uid="{438E2E11-4684-42DA-AE49-983CC81C6CE2}"/>
  <tableColumns count="16">
    <tableColumn id="1" xr3:uid="{5C38420A-C627-4AFD-A519-0A4CC7AED92C}" name="Question ID" dataDxfId="34"/>
    <tableColumn id="2" xr3:uid="{8AD4ACB0-7C22-439F-96E8-BD3B4EA956F4}" name="Subject" dataDxfId="33"/>
    <tableColumn id="3" xr3:uid="{BE52226F-5DB2-41B2-8095-7060C95E00C4}" name="Topic" dataDxfId="32"/>
    <tableColumn id="4" xr3:uid="{17D710BB-3A7A-4D7C-BF2B-0F94DAF091D4}" name="Subtopic" dataDxfId="31"/>
    <tableColumn id="5" xr3:uid="{14BC706D-DD60-4551-A3CC-1F4C3E72E705}" name="Difficulty" dataDxfId="30"/>
    <tableColumn id="6" xr3:uid="{1DADE216-4E3D-467E-B2BA-4FAB6FAB9A65}" name="Question" dataDxfId="29"/>
    <tableColumn id="7" xr3:uid="{6B302101-2F0F-4216-A487-B4F22EF0941F}" name="Option A" dataDxfId="28"/>
    <tableColumn id="8" xr3:uid="{B93B2684-4826-48F3-A0C2-7B53E3A73533}" name="Option B" dataDxfId="27"/>
    <tableColumn id="9" xr3:uid="{479CA19C-EC8B-4690-B563-8CE93DB0A51D}" name="Option C" dataDxfId="26"/>
    <tableColumn id="10" xr3:uid="{3672513E-7CE8-4117-B2CC-DA2FFA218022}" name="Option D" dataDxfId="25"/>
    <tableColumn id="11" xr3:uid="{7F091A03-C0BC-4B15-AA16-0947D2EA68C9}" name="Correct Answer" dataDxfId="24"/>
    <tableColumn id="12" xr3:uid="{CF0B4B18-38FA-4BEC-ABB0-BEC7F3123368}" name="Explanation" dataDxfId="23"/>
    <tableColumn id="13" xr3:uid="{893ECDF8-9FC8-4E95-9846-FAC529FC9A66}" name="Active" dataDxfId="22"/>
    <tableColumn id="14" xr3:uid="{67CFC8A5-7CE7-414B-AB66-5F1880478CC6}" name="Eligible" dataDxfId="21">
      <calculatedColumnFormula>IF(AND(M2="Yes",OR(QUIZ!$B$5="All Subjects",B2=QUIZ!$B$5),OR(QUIZ!$G$5="All Difficulties",E2=QUIZ!$G$5)),1,0)</calculatedColumnFormula>
    </tableColumn>
    <tableColumn id="15" xr3:uid="{05DD4D39-F5A4-4FDB-BE00-589B52AFD718}" name="Rank Key" dataDxfId="20">
      <calculatedColumnFormula>IF(N2=0,999999,MOD(IFERROR(VALUE(RIGHT(A2,3)),ROW())*7919+IF(N(QUIZ!$B$6)=0,1,QUIZ!$B$6)*104729+ROW()*IF(N(QUIZ!$B$6)=0,1,QUIZ!$B$6),999983)+ROW()/1000)</calculatedColumnFormula>
    </tableColumn>
    <tableColumn id="16" xr3:uid="{79D67E82-852E-4AA7-ACA3-42BCAF91EF91}" name="Draw Rank" dataDxfId="19">
      <calculatedColumnFormula>IF(N2=0,"",COUNTIFS($N$2:$N$510,1,$O$2:$O$510,"&lt;"&amp;O2)+1)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FB9848-BF7C-48FF-BC12-1F6FEB1FFF0B}" name="tblTopicLog" displayName="tblTopicLog" ref="A57:G58" totalsRowShown="0">
  <autoFilter ref="A57:G58" xr:uid="{DDFB9848-BF7C-48FF-BC12-1F6FEB1FFF0B}"/>
  <tableColumns count="7">
    <tableColumn id="1" xr3:uid="{1C5391C5-06D0-47AF-AB70-C4DA34018196}" name="Subject"/>
    <tableColumn id="2" xr3:uid="{953C3FB5-65C0-459C-97D1-C265D62E7C67}" name="Topic"/>
    <tableColumn id="3" xr3:uid="{610F462F-516A-40D4-A434-2CEA07C95F50}" name="Subtopic"/>
    <tableColumn id="4" xr3:uid="{B0C292C6-3327-4D3B-981B-E382CA285054}" name="Attempted"/>
    <tableColumn id="5" xr3:uid="{688C7A68-8DC3-49AA-B334-CD44E555063C}" name="Correct"/>
    <tableColumn id="6" xr3:uid="{F2BB7921-6A50-4531-B849-9D29DF43F2EE}" name="Accuracy"/>
    <tableColumn id="7" xr3:uid="{17D96EE1-1699-40DA-8529-5975302E37CA}" name="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8F259B-6629-4EF4-9FD3-632BE8C646AF}" name="tblHistory" displayName="tblHistory" ref="A24:I30" totalsRowShown="0">
  <autoFilter ref="A24:I30" xr:uid="{838F259B-6629-4EF4-9FD3-632BE8C646AF}"/>
  <tableColumns count="9">
    <tableColumn id="1" xr3:uid="{3E8DEEE4-B7F6-4824-9B42-8B3AF6F81A10}" name="Attempt ID"/>
    <tableColumn id="2" xr3:uid="{E0BA0309-9058-4DCA-9C78-CD8232FD3988}" name="Date" dataDxfId="18"/>
    <tableColumn id="3" xr3:uid="{5341B6D4-BEAC-4FAD-B380-98C98130912E}" name="Subject"/>
    <tableColumn id="4" xr3:uid="{076DD282-1016-46C6-9F37-AE03EA9ECCBE}" name="Difficulty"/>
    <tableColumn id="5" xr3:uid="{3B22D634-19F1-436E-BFE9-FCEF8E7F5C01}" name="Questions"/>
    <tableColumn id="6" xr3:uid="{879F7CF7-DDC4-47E6-B28B-7A3CB1A94E4A}" name="Correct"/>
    <tableColumn id="7" xr3:uid="{2C89CBA3-CC69-4A70-A8D6-15C99FF4DB2B}" name="Incorrect"/>
    <tableColumn id="8" xr3:uid="{8E7ADAC3-1298-4663-AD88-45DCE9A41941}" name="Accuracy" dataDxfId="17"/>
    <tableColumn id="9" xr3:uid="{8FCCB8C1-12D6-464F-9CD6-E7C9D6048F47}" name="Score"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F7033FA-F42D-4F83-9F45-ED1BE9E514C8}">
  <we:reference id="wa200011214" version="1.0.0.1" store="en-US" storeType="OMEX"/>
  <we:alternateReferences>
    <we:reference id="wa200011214" version="1.0.0.1" store="WA200011214" storeType="OMEX"/>
  </we:alternateReferences>
  <we:properties>
    <we:property name="grokConversationBinding" value="{&quot;responseId&quot;:&quot;18b23500-2527-4121-bda2-f7755d4b070f&quot;,&quot;title&quot;:&quot;Build Excel AI Study Assistant Workbook&quot;,&quot;transport&quot;:&quot;gateway&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E0C05-1F75-4108-8EEB-5369E0A6D839}">
  <sheetPr>
    <tabColor rgb="FF1B365D"/>
  </sheetPr>
  <dimension ref="A1:L27"/>
  <sheetViews>
    <sheetView tabSelected="1" topLeftCell="A6" workbookViewId="0">
      <selection activeCell="Q8" sqref="Q8"/>
    </sheetView>
  </sheetViews>
  <sheetFormatPr defaultRowHeight="15" x14ac:dyDescent="0.25"/>
  <cols>
    <col min="1" max="1" width="30.42578125" customWidth="1"/>
    <col min="2" max="8" width="14.85546875" customWidth="1"/>
    <col min="9" max="9" width="26.7109375" customWidth="1"/>
    <col min="10" max="12" width="14.85546875" customWidth="1"/>
  </cols>
  <sheetData>
    <row r="1" spans="1:12" ht="24" customHeight="1" x14ac:dyDescent="0.25">
      <c r="A1" s="72" t="s">
        <v>414</v>
      </c>
      <c r="B1" s="54"/>
      <c r="C1" s="54"/>
      <c r="D1" s="54"/>
      <c r="E1" s="54"/>
      <c r="F1" s="54"/>
      <c r="G1" s="54"/>
      <c r="H1" s="54"/>
      <c r="I1" s="54"/>
      <c r="J1" s="54"/>
      <c r="K1" s="54"/>
      <c r="L1" s="54"/>
    </row>
    <row r="2" spans="1:12" ht="24" customHeight="1" x14ac:dyDescent="0.25">
      <c r="A2" s="54"/>
      <c r="B2" s="54"/>
      <c r="C2" s="54"/>
      <c r="D2" s="54"/>
      <c r="E2" s="54"/>
      <c r="F2" s="54"/>
      <c r="G2" s="54"/>
      <c r="H2" s="54"/>
      <c r="I2" s="54"/>
      <c r="J2" s="54"/>
      <c r="K2" s="54"/>
      <c r="L2" s="54"/>
    </row>
    <row r="3" spans="1:12" ht="24" customHeight="1" x14ac:dyDescent="0.25">
      <c r="A3" s="54"/>
      <c r="B3" s="54"/>
      <c r="C3" s="54"/>
      <c r="D3" s="54"/>
      <c r="E3" s="54"/>
      <c r="F3" s="54"/>
      <c r="G3" s="54"/>
      <c r="H3" s="54"/>
      <c r="I3" s="54"/>
      <c r="J3" s="54"/>
      <c r="K3" s="54"/>
      <c r="L3" s="54"/>
    </row>
    <row r="4" spans="1:12" ht="8.1" customHeight="1" x14ac:dyDescent="0.25">
      <c r="A4" s="73"/>
      <c r="B4" s="73"/>
      <c r="C4" s="73"/>
      <c r="D4" s="73"/>
      <c r="E4" s="73"/>
      <c r="F4" s="73"/>
      <c r="G4" s="73"/>
      <c r="H4" s="73"/>
      <c r="I4" s="73"/>
      <c r="J4" s="73"/>
      <c r="K4" s="73"/>
      <c r="L4" s="73"/>
    </row>
    <row r="5" spans="1:12" ht="21.95" customHeight="1" x14ac:dyDescent="0.25">
      <c r="A5" s="55" t="s">
        <v>415</v>
      </c>
      <c r="B5" s="49"/>
      <c r="C5" s="49"/>
      <c r="D5" s="49"/>
      <c r="E5" s="49"/>
      <c r="F5" s="49"/>
      <c r="G5" s="49"/>
      <c r="H5" s="49"/>
      <c r="I5" s="49"/>
      <c r="J5" s="49"/>
      <c r="K5" s="49"/>
      <c r="L5" s="49"/>
    </row>
    <row r="6" spans="1:12" ht="21.95" customHeight="1" x14ac:dyDescent="0.25">
      <c r="A6" s="49"/>
      <c r="B6" s="49"/>
      <c r="C6" s="49"/>
      <c r="D6" s="49"/>
      <c r="E6" s="49"/>
      <c r="F6" s="49"/>
      <c r="G6" s="49"/>
      <c r="H6" s="49"/>
      <c r="I6" s="49"/>
      <c r="J6" s="49"/>
      <c r="K6" s="49"/>
      <c r="L6" s="49"/>
    </row>
    <row r="9" spans="1:12" ht="20.100000000000001" customHeight="1" x14ac:dyDescent="0.3">
      <c r="A9" s="75" t="s">
        <v>416</v>
      </c>
      <c r="B9" s="74"/>
      <c r="C9" s="74"/>
      <c r="E9" s="79" t="s">
        <v>371</v>
      </c>
      <c r="F9" s="78"/>
      <c r="G9" s="78"/>
      <c r="I9" s="85" t="s">
        <v>383</v>
      </c>
      <c r="J9" s="84"/>
      <c r="K9" s="84"/>
      <c r="L9" s="84"/>
    </row>
    <row r="10" spans="1:12" ht="20.100000000000001" customHeight="1" x14ac:dyDescent="0.25">
      <c r="A10" s="76" t="s">
        <v>417</v>
      </c>
      <c r="B10" s="77"/>
      <c r="C10" s="77"/>
      <c r="E10" s="83" t="s">
        <v>418</v>
      </c>
      <c r="F10" s="81" t="str">
        <f>IF(QUIZ!O6=0,"-",QUIZ!O11)</f>
        <v>0 / 10</v>
      </c>
      <c r="G10" s="80"/>
      <c r="I10" s="89" t="s">
        <v>385</v>
      </c>
      <c r="J10" s="87">
        <f>PROGRESS!B5</f>
        <v>6</v>
      </c>
      <c r="K10" s="86"/>
      <c r="L10" s="86"/>
    </row>
    <row r="11" spans="1:12" ht="20.100000000000001" customHeight="1" x14ac:dyDescent="0.25">
      <c r="A11" s="77"/>
      <c r="B11" s="77"/>
      <c r="C11" s="77"/>
      <c r="E11" s="83" t="s">
        <v>369</v>
      </c>
      <c r="F11" s="82">
        <f>IF(QUIZ!O6=0,"-",QUIZ!O12)</f>
        <v>0</v>
      </c>
      <c r="G11" s="80"/>
      <c r="I11" s="89" t="s">
        <v>386</v>
      </c>
      <c r="J11" s="88">
        <f>PROGRESS!F5</f>
        <v>0.71666666666666679</v>
      </c>
      <c r="K11" s="86"/>
      <c r="L11" s="86"/>
    </row>
    <row r="12" spans="1:12" ht="20.100000000000001" customHeight="1" x14ac:dyDescent="0.25">
      <c r="A12" s="77"/>
      <c r="B12" s="77"/>
      <c r="C12" s="77"/>
      <c r="E12" s="83" t="s">
        <v>419</v>
      </c>
      <c r="F12" s="81">
        <f>QUIZ!O8</f>
        <v>0</v>
      </c>
      <c r="G12" s="80"/>
      <c r="I12" s="89" t="s">
        <v>410</v>
      </c>
      <c r="J12" s="88">
        <f>PROGRESS!H5</f>
        <v>1</v>
      </c>
      <c r="K12" s="86"/>
      <c r="L12" s="86"/>
    </row>
    <row r="13" spans="1:12" ht="20.100000000000001" customHeight="1" x14ac:dyDescent="0.25">
      <c r="A13" s="77"/>
      <c r="B13" s="77"/>
      <c r="C13" s="77"/>
      <c r="E13" s="83" t="s">
        <v>377</v>
      </c>
      <c r="F13" s="81" t="str">
        <f>RESULTS!B30</f>
        <v>Integration</v>
      </c>
      <c r="G13" s="80"/>
      <c r="I13" s="89" t="s">
        <v>420</v>
      </c>
      <c r="J13" s="87">
        <f>PROGRESS!D5</f>
        <v>50</v>
      </c>
      <c r="K13" s="86"/>
      <c r="L13" s="86"/>
    </row>
    <row r="16" spans="1:12" ht="18.75" x14ac:dyDescent="0.3">
      <c r="A16" s="90" t="s">
        <v>421</v>
      </c>
      <c r="B16" s="61"/>
      <c r="C16" s="61"/>
      <c r="D16" s="61"/>
      <c r="E16" s="61"/>
      <c r="F16" s="61"/>
      <c r="G16" s="61"/>
      <c r="H16" s="61"/>
      <c r="I16" s="61"/>
      <c r="J16" s="61"/>
      <c r="K16" s="61"/>
      <c r="L16" s="61"/>
    </row>
    <row r="17" spans="1:12" ht="18" customHeight="1" x14ac:dyDescent="0.25">
      <c r="A17" s="91" t="s">
        <v>422</v>
      </c>
      <c r="B17" s="92"/>
      <c r="C17" s="92"/>
      <c r="D17" s="92"/>
      <c r="E17" s="92"/>
      <c r="F17" s="92"/>
      <c r="G17" s="92"/>
      <c r="H17" s="92"/>
      <c r="I17" s="92"/>
      <c r="J17" s="92"/>
      <c r="K17" s="92"/>
      <c r="L17" s="92"/>
    </row>
    <row r="18" spans="1:12" ht="18" customHeight="1" x14ac:dyDescent="0.25">
      <c r="A18" s="92"/>
      <c r="B18" s="92"/>
      <c r="C18" s="92"/>
      <c r="D18" s="92"/>
      <c r="E18" s="92"/>
      <c r="F18" s="92"/>
      <c r="G18" s="92"/>
      <c r="H18" s="92"/>
      <c r="I18" s="92"/>
      <c r="J18" s="92"/>
      <c r="K18" s="92"/>
      <c r="L18" s="92"/>
    </row>
    <row r="19" spans="1:12" ht="18" customHeight="1" x14ac:dyDescent="0.25">
      <c r="A19" s="92"/>
      <c r="B19" s="92"/>
      <c r="C19" s="92"/>
      <c r="D19" s="92"/>
      <c r="E19" s="92"/>
      <c r="F19" s="92"/>
      <c r="G19" s="92"/>
      <c r="H19" s="92"/>
      <c r="I19" s="92"/>
      <c r="J19" s="92"/>
      <c r="K19" s="92"/>
      <c r="L19" s="92"/>
    </row>
    <row r="20" spans="1:12" ht="18" customHeight="1" x14ac:dyDescent="0.25">
      <c r="A20" s="92"/>
      <c r="B20" s="92"/>
      <c r="C20" s="92"/>
      <c r="D20" s="92"/>
      <c r="E20" s="92"/>
      <c r="F20" s="92"/>
      <c r="G20" s="92"/>
      <c r="H20" s="92"/>
      <c r="I20" s="92"/>
      <c r="J20" s="92"/>
      <c r="K20" s="92"/>
      <c r="L20" s="92"/>
    </row>
    <row r="21" spans="1:12" ht="18" customHeight="1" x14ac:dyDescent="0.25">
      <c r="A21" s="92"/>
      <c r="B21" s="92"/>
      <c r="C21" s="92"/>
      <c r="D21" s="92"/>
      <c r="E21" s="92"/>
      <c r="F21" s="92"/>
      <c r="G21" s="92"/>
      <c r="H21" s="92"/>
      <c r="I21" s="92"/>
      <c r="J21" s="92"/>
      <c r="K21" s="92"/>
      <c r="L21" s="92"/>
    </row>
    <row r="22" spans="1:12" ht="18" customHeight="1" x14ac:dyDescent="0.25">
      <c r="A22" s="92"/>
      <c r="B22" s="92"/>
      <c r="C22" s="92"/>
      <c r="D22" s="92"/>
      <c r="E22" s="92"/>
      <c r="F22" s="92"/>
      <c r="G22" s="92"/>
      <c r="H22" s="92"/>
      <c r="I22" s="92"/>
      <c r="J22" s="92"/>
      <c r="K22" s="92"/>
      <c r="L22" s="92"/>
    </row>
    <row r="23" spans="1:12" ht="18" customHeight="1" x14ac:dyDescent="0.25">
      <c r="A23" s="92"/>
      <c r="B23" s="92"/>
      <c r="C23" s="92"/>
      <c r="D23" s="92"/>
      <c r="E23" s="92"/>
      <c r="F23" s="92"/>
      <c r="G23" s="92"/>
      <c r="H23" s="92"/>
      <c r="I23" s="92"/>
      <c r="J23" s="92"/>
      <c r="K23" s="92"/>
      <c r="L23" s="92"/>
    </row>
    <row r="25" spans="1:12" x14ac:dyDescent="0.25">
      <c r="A25" s="93" t="s">
        <v>423</v>
      </c>
      <c r="C25" s="94" t="s">
        <v>424</v>
      </c>
      <c r="E25" s="41" t="s">
        <v>425</v>
      </c>
      <c r="G25" s="95" t="s">
        <v>426</v>
      </c>
      <c r="I25" s="96" t="s">
        <v>427</v>
      </c>
      <c r="K25" s="98" t="s">
        <v>542</v>
      </c>
    </row>
    <row r="27" spans="1:12" x14ac:dyDescent="0.25">
      <c r="A27" s="99" t="s">
        <v>615</v>
      </c>
    </row>
  </sheetData>
  <mergeCells count="9">
    <mergeCell ref="A16:L16"/>
    <mergeCell ref="A17:L23"/>
    <mergeCell ref="A1:L3"/>
    <mergeCell ref="A5:L6"/>
    <mergeCell ref="A9:C9"/>
    <mergeCell ref="A10:C13"/>
    <mergeCell ref="E9:G9"/>
    <mergeCell ref="I9:L9"/>
    <mergeCell ref="A4:L4"/>
  </mergeCells>
  <hyperlinks>
    <hyperlink ref="A9" location="'QUIZ'!A1" tooltip="Open the quiz" display="START QUIZ" xr:uid="{8FC25873-4A0C-4467-BB86-19E6626E23BD}"/>
    <hyperlink ref="E9" location="'RESULTS'!A1" tooltip="Open results" display="QUIZ RESULTS" xr:uid="{48406616-B200-4852-B049-527289BAA99C}"/>
    <hyperlink ref="I9" location="'PROGRESS'!A1" tooltip="Open progress" display="STUDY PROGRESS" xr:uid="{5AF86F39-8DBF-4C6B-B70E-72A238E1AFC6}"/>
    <hyperlink ref="A25" location="'QUESTION_BANK'!A1" tooltip="Open question bank" display="QUESTION BANK" xr:uid="{87EC36BB-9FB9-42E1-9CB0-609C45ECD149}"/>
    <hyperlink ref="C25" location="'SETTINGS'!A1" tooltip="Open settings" display="SETTINGS" xr:uid="{E401203C-863F-4151-8F6C-22E5CF4AC774}"/>
    <hyperlink ref="E25" location="'QUIZ'!A1" tooltip="Open quiz" display="QUIZ" xr:uid="{B739B1D6-6233-4A18-9992-D6E014EE0EAC}"/>
    <hyperlink ref="G25" location="'RESULTS'!A1" tooltip="Open results" display="RESULTS" xr:uid="{669FF5C6-3D99-490A-AE25-DEE5803F338F}"/>
    <hyperlink ref="I25" location="'PROGRESS'!A1" tooltip="Open progress" display="PROGRESS" xr:uid="{52646C07-D1E1-4F8C-9122-7B7BF856CC33}"/>
    <hyperlink ref="K25" location="'AI QUESTION GENERATOR'!A1" tooltip="Open the question generator" display="AI GENERATOR" xr:uid="{22B9C483-4C22-4506-BCEE-18AB24A651A2}"/>
    <hyperlink ref="A27" location="'WEAK TOPIC PRACTICE'!A1" tooltip="Open weak topic practice" display="WEAK TOPICS" xr:uid="{9BCCABA5-C6B9-45DE-8126-9FB485AD26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2AAB-0D8C-4720-BE6D-D3EC53796B43}">
  <sheetPr>
    <tabColor rgb="FF0D7377"/>
  </sheetPr>
  <dimension ref="A1:AA28"/>
  <sheetViews>
    <sheetView workbookViewId="0">
      <selection activeCell="N2" sqref="N2"/>
    </sheetView>
  </sheetViews>
  <sheetFormatPr defaultRowHeight="15" x14ac:dyDescent="0.25"/>
  <cols>
    <col min="2" max="6" width="9.85546875" customWidth="1"/>
    <col min="7" max="7" width="13.28515625" customWidth="1"/>
    <col min="8" max="8" width="9.85546875" customWidth="1"/>
    <col min="9" max="9" width="17.140625" customWidth="1"/>
    <col min="10" max="10" width="13.28515625" customWidth="1"/>
    <col min="11" max="11" width="21" customWidth="1"/>
    <col min="12" max="12" width="41.85546875" customWidth="1"/>
    <col min="14" max="14" width="22.85546875" customWidth="1"/>
    <col min="15" max="15" width="15.28515625" customWidth="1"/>
    <col min="27" max="27" width="0" hidden="1" customWidth="1"/>
  </cols>
  <sheetData>
    <row r="1" spans="1:27" ht="32.1" customHeight="1" x14ac:dyDescent="0.25">
      <c r="A1" s="100" t="s">
        <v>354</v>
      </c>
      <c r="B1" s="100"/>
      <c r="C1" s="100"/>
      <c r="D1" s="100"/>
      <c r="E1" s="100"/>
      <c r="F1" s="100"/>
      <c r="G1" s="100"/>
      <c r="H1" s="100"/>
      <c r="I1" s="100"/>
      <c r="J1" s="100"/>
      <c r="K1" s="100"/>
      <c r="L1" s="100"/>
      <c r="AA1">
        <f>COUNTIF(QUESTION_BANK!N2:N510,1)</f>
        <v>14</v>
      </c>
    </row>
    <row r="2" spans="1:27" ht="15.75" x14ac:dyDescent="0.25">
      <c r="A2" s="101" t="s">
        <v>355</v>
      </c>
      <c r="B2" s="101"/>
      <c r="C2" s="101"/>
      <c r="D2" s="101"/>
      <c r="E2" s="101"/>
      <c r="F2" s="101"/>
      <c r="G2" s="101"/>
      <c r="H2" s="101"/>
      <c r="I2" s="101"/>
      <c r="J2" s="101"/>
      <c r="K2" s="101"/>
      <c r="L2" s="101"/>
      <c r="AA2">
        <f>IF(OR(NOT(ISNUMBER(K5)),K5&lt;1),0,K5)</f>
        <v>10</v>
      </c>
    </row>
    <row r="3" spans="1:27" x14ac:dyDescent="0.25">
      <c r="A3" s="56" t="s">
        <v>19</v>
      </c>
      <c r="B3" s="48"/>
      <c r="C3" s="48"/>
      <c r="D3" s="48"/>
      <c r="E3" s="48"/>
      <c r="F3" s="48"/>
      <c r="G3" s="48"/>
      <c r="H3" s="48"/>
      <c r="I3" s="48"/>
      <c r="J3" s="48"/>
      <c r="K3" s="48"/>
      <c r="L3" s="48"/>
      <c r="AA3">
        <f>MIN(AA1,AA2)</f>
        <v>10</v>
      </c>
    </row>
    <row r="5" spans="1:27" x14ac:dyDescent="0.25">
      <c r="A5" s="10" t="s">
        <v>21</v>
      </c>
      <c r="B5" s="57" t="s">
        <v>2</v>
      </c>
      <c r="C5" s="48"/>
      <c r="D5" s="48"/>
      <c r="F5" s="10" t="s">
        <v>7</v>
      </c>
      <c r="G5" s="57" t="s">
        <v>10</v>
      </c>
      <c r="H5" s="48"/>
      <c r="I5" s="48"/>
      <c r="J5" s="10" t="s">
        <v>356</v>
      </c>
      <c r="K5" s="57">
        <v>10</v>
      </c>
      <c r="L5" s="48"/>
      <c r="N5" s="103" t="s">
        <v>363</v>
      </c>
      <c r="O5" s="102"/>
      <c r="P5" s="102"/>
      <c r="Q5" s="102"/>
    </row>
    <row r="6" spans="1:27" x14ac:dyDescent="0.25">
      <c r="A6" s="10" t="s">
        <v>357</v>
      </c>
      <c r="B6" s="11">
        <v>1</v>
      </c>
      <c r="C6" s="59" t="s">
        <v>358</v>
      </c>
      <c r="D6" s="48"/>
      <c r="E6" s="48"/>
      <c r="F6" s="48"/>
      <c r="G6" s="48"/>
      <c r="H6" s="48"/>
      <c r="I6" s="48"/>
      <c r="J6" s="48"/>
      <c r="K6" s="48"/>
      <c r="L6" s="48"/>
      <c r="N6" s="17" t="s">
        <v>364</v>
      </c>
      <c r="O6" s="19">
        <f>AA3</f>
        <v>10</v>
      </c>
    </row>
    <row r="7" spans="1:27" x14ac:dyDescent="0.25">
      <c r="A7" s="60" t="str">
        <f>IF(AA1=0,"No matching questions found. Please change your quiz settings or add questions to QUESTION_BANK.",IF(AA1&lt;AA2,"Not enough questions available for this selection. Please choose another topic, difficulty, or question count. Showing "&amp;AA3&amp;" of "&amp;AA2&amp;" requested.","Ready — "&amp;AA3&amp;" questions drawn from "&amp;B5&amp;" / "&amp;G5&amp;". Change Shuffle to draw a new set."))</f>
        <v>Ready — 10 questions drawn from Mathematics / Medium. Change Shuffle to draw a new set.</v>
      </c>
      <c r="B7" s="48"/>
      <c r="C7" s="48"/>
      <c r="D7" s="48"/>
      <c r="E7" s="48"/>
      <c r="F7" s="48"/>
      <c r="G7" s="48"/>
      <c r="H7" s="48"/>
      <c r="I7" s="48"/>
      <c r="J7" s="48"/>
      <c r="K7" s="48"/>
      <c r="L7" s="48"/>
      <c r="N7" s="17" t="s">
        <v>365</v>
      </c>
      <c r="O7" s="19" cm="1">
        <f t="array" ref="O7">SUMPRODUCT(($AA$9:$AA$28&lt;&gt;"")*(I9:I28&lt;&gt;""))</f>
        <v>0</v>
      </c>
    </row>
    <row r="8" spans="1:27" x14ac:dyDescent="0.25">
      <c r="A8" s="10" t="s">
        <v>359</v>
      </c>
      <c r="B8" s="52" t="s">
        <v>24</v>
      </c>
      <c r="C8" s="52"/>
      <c r="D8" s="52"/>
      <c r="E8" s="52"/>
      <c r="F8" s="52"/>
      <c r="G8" s="52"/>
      <c r="H8" s="52"/>
      <c r="I8" s="10" t="s">
        <v>360</v>
      </c>
      <c r="J8" s="10" t="s">
        <v>361</v>
      </c>
      <c r="K8" s="10" t="s">
        <v>362</v>
      </c>
      <c r="L8" s="10" t="s">
        <v>30</v>
      </c>
      <c r="N8" s="17" t="s">
        <v>361</v>
      </c>
      <c r="O8" s="21">
        <f>COUNTIF(K9:K28,"CORRECT")</f>
        <v>0</v>
      </c>
    </row>
    <row r="9" spans="1:27" ht="72" customHeight="1" x14ac:dyDescent="0.25">
      <c r="A9" s="15">
        <f>IF(AA9="","",1)</f>
        <v>1</v>
      </c>
      <c r="B9" s="58" t="str">
        <f>IF(AA9="","",_xlfn.XLOOKUP(AA9,tblQuestions[Question ID],tblQuestions[Question])&amp;CHAR(10)&amp;"A. "&amp;_xlfn.XLOOKUP(AA9,tblQuestions[Question ID],tblQuestions[Option A])&amp;CHAR(10)&amp;"B. "&amp;_xlfn.XLOOKUP(AA9,tblQuestions[Question ID],tblQuestions[Option B])&amp;CHAR(10)&amp;"C. "&amp;_xlfn.XLOOKUP(AA9,tblQuestions[Question ID],tblQuestions[Option C])&amp;CHAR(10)&amp;"D. "&amp;_xlfn.XLOOKUP(AA9,tblQuestions[Question ID],tblQuestions[Option D]))</f>
        <v>Using substitution, evaluate the indefinite integral of 2x(x^2+1)^3.
A. (x^2+1)^4 / 4 + C
B. (x^2+1)^3 / 3 + C
C. 2(x^2+1)^4 + C
D. x^2(x^2+1)^4 + C</v>
      </c>
      <c r="C9" s="58"/>
      <c r="D9" s="58"/>
      <c r="E9" s="58"/>
      <c r="F9" s="58"/>
      <c r="G9" s="58"/>
      <c r="H9" s="58"/>
      <c r="J9" s="14" t="str">
        <f>IF(OR(AA9="",I9=""),"",_xlfn.XLOOKUP(AA9,tblQuestions[Question ID],tblQuestions[Correct Answer]))</f>
        <v/>
      </c>
      <c r="K9" s="14" t="str">
        <f>IF(AA9="","",IF(I9="","NOT ANSWERED",IF(UPPER(TRIM(I9))=_xlfn.XLOOKUP(AA9,tblQuestions[Question ID],tblQuestions[Correct Answer]),"CORRECT","INCORRECT")))</f>
        <v>NOT ANSWERED</v>
      </c>
      <c r="L9" s="16" t="str">
        <f>IF(OR(AA9="",I9=""),"",_xlfn.XLOOKUP(AA9,tblQuestions[Question ID],tblQuestions[Explanation]))</f>
        <v/>
      </c>
      <c r="N9" s="17" t="s">
        <v>366</v>
      </c>
      <c r="O9" s="22">
        <f>COUNTIF(K9:K28,"INCORRECT")</f>
        <v>0</v>
      </c>
      <c r="AA9" t="str">
        <f>IF(OR($AA$3&lt;1,1&gt;$AA$3),"",IFERROR(INDEX(QUESTION_BANK!$A$2:$A$510,MATCH(1,QUESTION_BANK!$P$2:$P$510,0)),""))</f>
        <v>MATH001</v>
      </c>
    </row>
    <row r="10" spans="1:27" ht="72" customHeight="1" x14ac:dyDescent="0.25">
      <c r="A10" s="15">
        <f>IF(AA10="","",2)</f>
        <v>2</v>
      </c>
      <c r="B10" s="58" t="str">
        <f>IF(AA10="","",_xlfn.XLOOKUP(AA10,tblQuestions[Question ID],tblQuestions[Question])&amp;CHAR(10)&amp;"A. "&amp;_xlfn.XLOOKUP(AA10,tblQuestions[Question ID],tblQuestions[Option A])&amp;CHAR(10)&amp;"B. "&amp;_xlfn.XLOOKUP(AA10,tblQuestions[Question ID],tblQuestions[Option B])&amp;CHAR(10)&amp;"C. "&amp;_xlfn.XLOOKUP(AA10,tblQuestions[Question ID],tblQuestions[Option C])&amp;CHAR(10)&amp;"D. "&amp;_xlfn.XLOOKUP(AA10,tblQuestions[Question ID],tblQuestions[Option D]))</f>
        <v>What is the derivative of sin(x)?
A. -cos(x)
B. sin(x)
C. cos(x)
D. tan(x)</v>
      </c>
      <c r="C10" s="58"/>
      <c r="D10" s="58"/>
      <c r="E10" s="58"/>
      <c r="F10" s="58"/>
      <c r="G10" s="58"/>
      <c r="H10" s="58"/>
      <c r="J10" s="14" t="str">
        <f>IF(OR(AA10="",I10=""),"",_xlfn.XLOOKUP(AA10,tblQuestions[Question ID],tblQuestions[Correct Answer]))</f>
        <v/>
      </c>
      <c r="K10" s="14" t="str">
        <f>IF(AA10="","",IF(I10="","NOT ANSWERED",IF(UPPER(TRIM(I10))=_xlfn.XLOOKUP(AA10,tblQuestions[Question ID],tblQuestions[Correct Answer]),"CORRECT","INCORRECT")))</f>
        <v>NOT ANSWERED</v>
      </c>
      <c r="L10" s="16" t="str">
        <f>IF(OR(AA10="",I10=""),"",_xlfn.XLOOKUP(AA10,tblQuestions[Question ID],tblQuestions[Explanation]))</f>
        <v/>
      </c>
      <c r="N10" s="17" t="s">
        <v>367</v>
      </c>
      <c r="O10" s="19">
        <f>COUNTIF(K9:K28,"NOT ANSWERED")</f>
        <v>10</v>
      </c>
      <c r="AA10" t="str">
        <f>IF(OR($AA$3&lt;1,2&gt;$AA$3),"",IFERROR(INDEX(QUESTION_BANK!$A$2:$A$510,MATCH(2,QUESTION_BANK!$P$2:$P$510,0)),""))</f>
        <v>Q002</v>
      </c>
    </row>
    <row r="11" spans="1:27" ht="72" customHeight="1" x14ac:dyDescent="0.25">
      <c r="A11" s="15">
        <f>IF(AA11="","",3)</f>
        <v>3</v>
      </c>
      <c r="B11" s="58" t="str">
        <f>IF(AA11="","",_xlfn.XLOOKUP(AA11,tblQuestions[Question ID],tblQuestions[Question])&amp;CHAR(10)&amp;"A. "&amp;_xlfn.XLOOKUP(AA11,tblQuestions[Question ID],tblQuestions[Option A])&amp;CHAR(10)&amp;"B. "&amp;_xlfn.XLOOKUP(AA11,tblQuestions[Question ID],tblQuestions[Option B])&amp;CHAR(10)&amp;"C. "&amp;_xlfn.XLOOKUP(AA11,tblQuestions[Question ID],tblQuestions[Option C])&amp;CHAR(10)&amp;"D. "&amp;_xlfn.XLOOKUP(AA11,tblQuestions[Question ID],tblQuestions[Option D]))</f>
        <v>Using substitution, evaluate the indefinite integral of 2x e^(x^2).
A. e^(x^2) + C
B. 2e^(x^2) + C
C. x e^(x^2) + C
D. e^(2x) + C</v>
      </c>
      <c r="C11" s="58"/>
      <c r="D11" s="58"/>
      <c r="E11" s="58"/>
      <c r="F11" s="58"/>
      <c r="G11" s="58"/>
      <c r="H11" s="58"/>
      <c r="J11" s="14" t="str">
        <f>IF(OR(AA11="",I11=""),"",_xlfn.XLOOKUP(AA11,tblQuestions[Question ID],tblQuestions[Correct Answer]))</f>
        <v/>
      </c>
      <c r="K11" s="14" t="str">
        <f>IF(AA11="","",IF(I11="","NOT ANSWERED",IF(UPPER(TRIM(I11))=_xlfn.XLOOKUP(AA11,tblQuestions[Question ID],tblQuestions[Correct Answer]),"CORRECT","INCORRECT")))</f>
        <v>NOT ANSWERED</v>
      </c>
      <c r="L11" s="16" t="str">
        <f>IF(OR(AA11="",I11=""),"",_xlfn.XLOOKUP(AA11,tblQuestions[Question ID],tblQuestions[Explanation]))</f>
        <v/>
      </c>
      <c r="N11" s="17" t="s">
        <v>368</v>
      </c>
      <c r="O11" s="19" t="str">
        <f>IF(O6=0,"—",O8&amp;" / "&amp;O6)</f>
        <v>0 / 10</v>
      </c>
      <c r="AA11" t="str">
        <f>IF(OR($AA$3&lt;1,3&gt;$AA$3),"",IFERROR(INDEX(QUESTION_BANK!$A$2:$A$510,MATCH(3,QUESTION_BANK!$P$2:$P$510,0)),""))</f>
        <v>MATH002</v>
      </c>
    </row>
    <row r="12" spans="1:27" ht="72" customHeight="1" x14ac:dyDescent="0.25">
      <c r="A12" s="15">
        <f>IF(AA12="","",4)</f>
        <v>4</v>
      </c>
      <c r="B12" s="58" t="str">
        <f>IF(AA12="","",_xlfn.XLOOKUP(AA12,tblQuestions[Question ID],tblQuestions[Question])&amp;CHAR(10)&amp;"A. "&amp;_xlfn.XLOOKUP(AA12,tblQuestions[Question ID],tblQuestions[Option A])&amp;CHAR(10)&amp;"B. "&amp;_xlfn.XLOOKUP(AA12,tblQuestions[Question ID],tblQuestions[Option B])&amp;CHAR(10)&amp;"C. "&amp;_xlfn.XLOOKUP(AA12,tblQuestions[Question ID],tblQuestions[Option C])&amp;CHAR(10)&amp;"D. "&amp;_xlfn.XLOOKUP(AA12,tblQuestions[Question ID],tblQuestions[Option D]))</f>
        <v>Evaluate the definite integral of 2x from 0 to 1.
A. 1
B. 2
C. 0
D. 1/2</v>
      </c>
      <c r="C12" s="58"/>
      <c r="D12" s="58"/>
      <c r="E12" s="58"/>
      <c r="F12" s="58"/>
      <c r="G12" s="58"/>
      <c r="H12" s="58"/>
      <c r="J12" s="14" t="str">
        <f>IF(OR(AA12="",I12=""),"",_xlfn.XLOOKUP(AA12,tblQuestions[Question ID],tblQuestions[Correct Answer]))</f>
        <v/>
      </c>
      <c r="K12" s="14" t="str">
        <f>IF(AA12="","",IF(I12="","NOT ANSWERED",IF(UPPER(TRIM(I12))=_xlfn.XLOOKUP(AA12,tblQuestions[Question ID],tblQuestions[Correct Answer]),"CORRECT","INCORRECT")))</f>
        <v>NOT ANSWERED</v>
      </c>
      <c r="L12" s="16" t="str">
        <f>IF(OR(AA12="",I12=""),"",_xlfn.XLOOKUP(AA12,tblQuestions[Question ID],tblQuestions[Explanation]))</f>
        <v/>
      </c>
      <c r="N12" s="17" t="s">
        <v>369</v>
      </c>
      <c r="O12" s="20">
        <f>IF(O6=0,"—",O8/O6)</f>
        <v>0</v>
      </c>
      <c r="AA12" t="str">
        <f>IF(OR($AA$3&lt;1,4&gt;$AA$3),"",IFERROR(INDEX(QUESTION_BANK!$A$2:$A$510,MATCH(4,QUESTION_BANK!$P$2:$P$510,0)),""))</f>
        <v>MATH003</v>
      </c>
    </row>
    <row r="13" spans="1:27" ht="72" customHeight="1" x14ac:dyDescent="0.25">
      <c r="A13" s="15">
        <f>IF(AA13="","",5)</f>
        <v>5</v>
      </c>
      <c r="B13" s="58" t="str">
        <f>IF(AA13="","",_xlfn.XLOOKUP(AA13,tblQuestions[Question ID],tblQuestions[Question])&amp;CHAR(10)&amp;"A. "&amp;_xlfn.XLOOKUP(AA13,tblQuestions[Question ID],tblQuestions[Option A])&amp;CHAR(10)&amp;"B. "&amp;_xlfn.XLOOKUP(AA13,tblQuestions[Question ID],tblQuestions[Option B])&amp;CHAR(10)&amp;"C. "&amp;_xlfn.XLOOKUP(AA13,tblQuestions[Question ID],tblQuestions[Option C])&amp;CHAR(10)&amp;"D. "&amp;_xlfn.XLOOKUP(AA13,tblQuestions[Question ID],tblQuestions[Option D]))</f>
        <v>What is the indefinite integral of 1/x?
A. x + C
B. 1/x² + C
C. ln|x| + C
D. e^x + C</v>
      </c>
      <c r="C13" s="58"/>
      <c r="D13" s="58"/>
      <c r="E13" s="58"/>
      <c r="F13" s="58"/>
      <c r="G13" s="58"/>
      <c r="H13" s="58"/>
      <c r="J13" s="14" t="str">
        <f>IF(OR(AA13="",I13=""),"",_xlfn.XLOOKUP(AA13,tblQuestions[Question ID],tblQuestions[Correct Answer]))</f>
        <v/>
      </c>
      <c r="K13" s="14" t="str">
        <f>IF(AA13="","",IF(I13="","NOT ANSWERED",IF(UPPER(TRIM(I13))=_xlfn.XLOOKUP(AA13,tblQuestions[Question ID],tblQuestions[Correct Answer]),"CORRECT","INCORRECT")))</f>
        <v>NOT ANSWERED</v>
      </c>
      <c r="L13" s="16" t="str">
        <f>IF(OR(AA13="",I13=""),"",_xlfn.XLOOKUP(AA13,tblQuestions[Question ID],tblQuestions[Explanation]))</f>
        <v/>
      </c>
      <c r="AA13" t="str">
        <f>IF(OR($AA$3&lt;1,5&gt;$AA$3),"",IFERROR(INDEX(QUESTION_BANK!$A$2:$A$510,MATCH(5,QUESTION_BANK!$P$2:$P$510,0)),""))</f>
        <v>Q004</v>
      </c>
    </row>
    <row r="14" spans="1:27" ht="72" customHeight="1" x14ac:dyDescent="0.25">
      <c r="A14" s="15">
        <f>IF(AA14="","",6)</f>
        <v>6</v>
      </c>
      <c r="B14" s="58" t="str">
        <f>IF(AA14="","",_xlfn.XLOOKUP(AA14,tblQuestions[Question ID],tblQuestions[Question])&amp;CHAR(10)&amp;"A. "&amp;_xlfn.XLOOKUP(AA14,tblQuestions[Question ID],tblQuestions[Option A])&amp;CHAR(10)&amp;"B. "&amp;_xlfn.XLOOKUP(AA14,tblQuestions[Question ID],tblQuestions[Option B])&amp;CHAR(10)&amp;"C. "&amp;_xlfn.XLOOKUP(AA14,tblQuestions[Question ID],tblQuestions[Option C])&amp;CHAR(10)&amp;"D. "&amp;_xlfn.XLOOKUP(AA14,tblQuestions[Question ID],tblQuestions[Option D]))</f>
        <v>Evaluate the definite integral of 3x^2 from 0 to 2.
A. 8
B. 12
C. 4
D. 6</v>
      </c>
      <c r="C14" s="58"/>
      <c r="D14" s="58"/>
      <c r="E14" s="58"/>
      <c r="F14" s="58"/>
      <c r="G14" s="58"/>
      <c r="H14" s="58"/>
      <c r="J14" s="14" t="str">
        <f>IF(OR(AA14="",I14=""),"",_xlfn.XLOOKUP(AA14,tblQuestions[Question ID],tblQuestions[Correct Answer]))</f>
        <v/>
      </c>
      <c r="K14" s="14" t="str">
        <f>IF(AA14="","",IF(I14="","NOT ANSWERED",IF(UPPER(TRIM(I14))=_xlfn.XLOOKUP(AA14,tblQuestions[Question ID],tblQuestions[Correct Answer]),"CORRECT","INCORRECT")))</f>
        <v>NOT ANSWERED</v>
      </c>
      <c r="L14" s="16" t="str">
        <f>IF(OR(AA14="",I14=""),"",_xlfn.XLOOKUP(AA14,tblQuestions[Question ID],tblQuestions[Explanation]))</f>
        <v/>
      </c>
      <c r="N14" s="23" t="s">
        <v>370</v>
      </c>
      <c r="AA14" t="str">
        <f>IF(OR($AA$3&lt;1,6&gt;$AA$3),"",IFERROR(INDEX(QUESTION_BANK!$A$2:$A$510,MATCH(6,QUESTION_BANK!$P$2:$P$510,0)),""))</f>
        <v>MATH004</v>
      </c>
    </row>
    <row r="15" spans="1:27" ht="72" customHeight="1" x14ac:dyDescent="0.25">
      <c r="A15" s="15">
        <f>IF(AA15="","",7)</f>
        <v>7</v>
      </c>
      <c r="B15" s="58" t="str">
        <f>IF(AA15="","",_xlfn.XLOOKUP(AA15,tblQuestions[Question ID],tblQuestions[Question])&amp;CHAR(10)&amp;"A. "&amp;_xlfn.XLOOKUP(AA15,tblQuestions[Question ID],tblQuestions[Option A])&amp;CHAR(10)&amp;"B. "&amp;_xlfn.XLOOKUP(AA15,tblQuestions[Question ID],tblQuestions[Option B])&amp;CHAR(10)&amp;"C. "&amp;_xlfn.XLOOKUP(AA15,tblQuestions[Question ID],tblQuestions[Option C])&amp;CHAR(10)&amp;"D. "&amp;_xlfn.XLOOKUP(AA15,tblQuestions[Question ID],tblQuestions[Option D]))</f>
        <v>Using substitution, evaluate the indefinite integral of 2x/(x^2+1).
A. ln|x^2+1| + C
B. 2 ln|x^2+1| + C
C. ln|2x| + C
D. arctan(x^2) + C</v>
      </c>
      <c r="C15" s="58"/>
      <c r="D15" s="58"/>
      <c r="E15" s="58"/>
      <c r="F15" s="58"/>
      <c r="G15" s="58"/>
      <c r="H15" s="58"/>
      <c r="J15" s="14" t="str">
        <f>IF(OR(AA15="",I15=""),"",_xlfn.XLOOKUP(AA15,tblQuestions[Question ID],tblQuestions[Correct Answer]))</f>
        <v/>
      </c>
      <c r="K15" s="14" t="str">
        <f>IF(AA15="","",IF(I15="","NOT ANSWERED",IF(UPPER(TRIM(I15))=_xlfn.XLOOKUP(AA15,tblQuestions[Question ID],tblQuestions[Correct Answer]),"CORRECT","INCORRECT")))</f>
        <v>NOT ANSWERED</v>
      </c>
      <c r="L15" s="16" t="str">
        <f>IF(OR(AA15="",I15=""),"",_xlfn.XLOOKUP(AA15,tblQuestions[Question ID],tblQuestions[Explanation]))</f>
        <v/>
      </c>
      <c r="AA15" t="str">
        <f>IF(OR($AA$3&lt;1,7&gt;$AA$3),"",IFERROR(INDEX(QUESTION_BANK!$A$2:$A$510,MATCH(7,QUESTION_BANK!$P$2:$P$510,0)),""))</f>
        <v>MATH005</v>
      </c>
    </row>
    <row r="16" spans="1:27" ht="72" customHeight="1" x14ac:dyDescent="0.25">
      <c r="A16" s="15">
        <f>IF(AA16="","",8)</f>
        <v>8</v>
      </c>
      <c r="B16" s="58" t="str">
        <f>IF(AA16="","",_xlfn.XLOOKUP(AA16,tblQuestions[Question ID],tblQuestions[Question])&amp;CHAR(10)&amp;"A. "&amp;_xlfn.XLOOKUP(AA16,tblQuestions[Question ID],tblQuestions[Option A])&amp;CHAR(10)&amp;"B. "&amp;_xlfn.XLOOKUP(AA16,tblQuestions[Question ID],tblQuestions[Option B])&amp;CHAR(10)&amp;"C. "&amp;_xlfn.XLOOKUP(AA16,tblQuestions[Question ID],tblQuestions[Option C])&amp;CHAR(10)&amp;"D. "&amp;_xlfn.XLOOKUP(AA16,tblQuestions[Question ID],tblQuestions[Option D]))</f>
        <v>What are the roots of x² − 5x + 6 = 0?
A. 1 and 6
B. 2 and 3
C. −2 and −3
D. 5 and 6</v>
      </c>
      <c r="C16" s="58"/>
      <c r="D16" s="58"/>
      <c r="E16" s="58"/>
      <c r="F16" s="58"/>
      <c r="G16" s="58"/>
      <c r="H16" s="58"/>
      <c r="J16" s="14" t="str">
        <f>IF(OR(AA16="",I16=""),"",_xlfn.XLOOKUP(AA16,tblQuestions[Question ID],tblQuestions[Correct Answer]))</f>
        <v/>
      </c>
      <c r="K16" s="14" t="str">
        <f>IF(AA16="","",IF(I16="","NOT ANSWERED",IF(UPPER(TRIM(I16))=_xlfn.XLOOKUP(AA16,tblQuestions[Question ID],tblQuestions[Correct Answer]),"CORRECT","INCORRECT")))</f>
        <v>NOT ANSWERED</v>
      </c>
      <c r="L16" s="16" t="str">
        <f>IF(OR(AA16="",I16=""),"",_xlfn.XLOOKUP(AA16,tblQuestions[Question ID],tblQuestions[Explanation]))</f>
        <v/>
      </c>
      <c r="AA16" t="str">
        <f>IF(OR($AA$3&lt;1,8&gt;$AA$3),"",IFERROR(INDEX(QUESTION_BANK!$A$2:$A$510,MATCH(8,QUESTION_BANK!$P$2:$P$510,0)),""))</f>
        <v>Q006</v>
      </c>
    </row>
    <row r="17" spans="1:27" ht="72" customHeight="1" x14ac:dyDescent="0.25">
      <c r="A17" s="15">
        <f>IF(AA17="","",9)</f>
        <v>9</v>
      </c>
      <c r="B17" s="58" t="str">
        <f>IF(AA17="","",_xlfn.XLOOKUP(AA17,tblQuestions[Question ID],tblQuestions[Question])&amp;CHAR(10)&amp;"A. "&amp;_xlfn.XLOOKUP(AA17,tblQuestions[Question ID],tblQuestions[Option A])&amp;CHAR(10)&amp;"B. "&amp;_xlfn.XLOOKUP(AA17,tblQuestions[Question ID],tblQuestions[Option B])&amp;CHAR(10)&amp;"C. "&amp;_xlfn.XLOOKUP(AA17,tblQuestions[Question ID],tblQuestions[Option C])&amp;CHAR(10)&amp;"D. "&amp;_xlfn.XLOOKUP(AA17,tblQuestions[Question ID],tblQuestions[Option D]))</f>
        <v>Evaluate the definite integral of 1/x from 1 to e.
A. 1
B. e
C. 0
D. e-1</v>
      </c>
      <c r="C17" s="58"/>
      <c r="D17" s="58"/>
      <c r="E17" s="58"/>
      <c r="F17" s="58"/>
      <c r="G17" s="58"/>
      <c r="H17" s="58"/>
      <c r="J17" s="14" t="str">
        <f>IF(OR(AA17="",I17=""),"",_xlfn.XLOOKUP(AA17,tblQuestions[Question ID],tblQuestions[Correct Answer]))</f>
        <v/>
      </c>
      <c r="K17" s="14" t="str">
        <f>IF(AA17="","",IF(I17="","NOT ANSWERED",IF(UPPER(TRIM(I17))=_xlfn.XLOOKUP(AA17,tblQuestions[Question ID],tblQuestions[Correct Answer]),"CORRECT","INCORRECT")))</f>
        <v>NOT ANSWERED</v>
      </c>
      <c r="L17" s="16" t="str">
        <f>IF(OR(AA17="",I17=""),"",_xlfn.XLOOKUP(AA17,tblQuestions[Question ID],tblQuestions[Explanation]))</f>
        <v/>
      </c>
      <c r="AA17" t="str">
        <f>IF(OR($AA$3&lt;1,9&gt;$AA$3),"",IFERROR(INDEX(QUESTION_BANK!$A$2:$A$510,MATCH(9,QUESTION_BANK!$P$2:$P$510,0)),""))</f>
        <v>MATH006</v>
      </c>
    </row>
    <row r="18" spans="1:27" ht="72" customHeight="1" x14ac:dyDescent="0.25">
      <c r="A18" s="15">
        <f>IF(AA18="","",10)</f>
        <v>10</v>
      </c>
      <c r="B18" s="58" t="str">
        <f>IF(AA18="","",_xlfn.XLOOKUP(AA18,tblQuestions[Question ID],tblQuestions[Question])&amp;CHAR(10)&amp;"A. "&amp;_xlfn.XLOOKUP(AA18,tblQuestions[Question ID],tblQuestions[Option A])&amp;CHAR(10)&amp;"B. "&amp;_xlfn.XLOOKUP(AA18,tblQuestions[Question ID],tblQuestions[Option B])&amp;CHAR(10)&amp;"C. "&amp;_xlfn.XLOOKUP(AA18,tblQuestions[Question ID],tblQuestions[Option C])&amp;CHAR(10)&amp;"D. "&amp;_xlfn.XLOOKUP(AA18,tblQuestions[Question ID],tblQuestions[Option D]))</f>
        <v>Using the substitution u = sin(x), evaluate the indefinite integral of sin(x)cos(x).
A. (1/2) sin^2(x) + C
B. sin^2(x) + C
C. cos^2(x) + C
D. negative cos(x) + C</v>
      </c>
      <c r="C18" s="58"/>
      <c r="D18" s="58"/>
      <c r="E18" s="58"/>
      <c r="F18" s="58"/>
      <c r="G18" s="58"/>
      <c r="H18" s="58"/>
      <c r="J18" s="14" t="str">
        <f>IF(OR(AA18="",I18=""),"",_xlfn.XLOOKUP(AA18,tblQuestions[Question ID],tblQuestions[Correct Answer]))</f>
        <v/>
      </c>
      <c r="K18" s="14" t="str">
        <f>IF(AA18="","",IF(I18="","NOT ANSWERED",IF(UPPER(TRIM(I18))=_xlfn.XLOOKUP(AA18,tblQuestions[Question ID],tblQuestions[Correct Answer]),"CORRECT","INCORRECT")))</f>
        <v>NOT ANSWERED</v>
      </c>
      <c r="L18" s="16" t="str">
        <f>IF(OR(AA18="",I18=""),"",_xlfn.XLOOKUP(AA18,tblQuestions[Question ID],tblQuestions[Explanation]))</f>
        <v/>
      </c>
      <c r="AA18" t="str">
        <f>IF(OR($AA$3&lt;1,10&gt;$AA$3),"",IFERROR(INDEX(QUESTION_BANK!$A$2:$A$510,MATCH(10,QUESTION_BANK!$P$2:$P$510,0)),""))</f>
        <v>MATH007</v>
      </c>
    </row>
    <row r="19" spans="1:27" ht="72" customHeight="1" x14ac:dyDescent="0.25">
      <c r="A19" s="15" t="str">
        <f>IF(AA19="","",11)</f>
        <v/>
      </c>
      <c r="B19" s="58" t="str">
        <f>IF(AA19="","",_xlfn.XLOOKUP(AA19,tblQuestions[Question ID],tblQuestions[Question])&amp;CHAR(10)&amp;"A. "&amp;_xlfn.XLOOKUP(AA19,tblQuestions[Question ID],tblQuestions[Option A])&amp;CHAR(10)&amp;"B. "&amp;_xlfn.XLOOKUP(AA19,tblQuestions[Question ID],tblQuestions[Option B])&amp;CHAR(10)&amp;"C. "&amp;_xlfn.XLOOKUP(AA19,tblQuestions[Question ID],tblQuestions[Option C])&amp;CHAR(10)&amp;"D. "&amp;_xlfn.XLOOKUP(AA19,tblQuestions[Question ID],tblQuestions[Option D]))</f>
        <v/>
      </c>
      <c r="C19" s="58"/>
      <c r="D19" s="58"/>
      <c r="E19" s="58"/>
      <c r="F19" s="58"/>
      <c r="G19" s="58"/>
      <c r="H19" s="58"/>
      <c r="J19" s="14" t="str">
        <f>IF(OR(AA19="",I19=""),"",_xlfn.XLOOKUP(AA19,tblQuestions[Question ID],tblQuestions[Correct Answer]))</f>
        <v/>
      </c>
      <c r="K19" s="14" t="str">
        <f>IF(AA19="","",IF(I19="","NOT ANSWERED",IF(UPPER(TRIM(I19))=_xlfn.XLOOKUP(AA19,tblQuestions[Question ID],tblQuestions[Correct Answer]),"CORRECT","INCORRECT")))</f>
        <v/>
      </c>
      <c r="L19" s="16" t="str">
        <f>IF(OR(AA19="",I19=""),"",_xlfn.XLOOKUP(AA19,tblQuestions[Question ID],tblQuestions[Explanation]))</f>
        <v/>
      </c>
      <c r="AA19" t="str">
        <f>IF(OR($AA$3&lt;1,11&gt;$AA$3),"",IFERROR(INDEX(QUESTION_BANK!$A$2:$A$510,MATCH(11,QUESTION_BANK!$P$2:$P$510,0)),""))</f>
        <v/>
      </c>
    </row>
    <row r="20" spans="1:27" ht="72" customHeight="1" x14ac:dyDescent="0.25">
      <c r="A20" s="15" t="str">
        <f>IF(AA20="","",12)</f>
        <v/>
      </c>
      <c r="B20" s="58" t="str">
        <f>IF(AA20="","",_xlfn.XLOOKUP(AA20,tblQuestions[Question ID],tblQuestions[Question])&amp;CHAR(10)&amp;"A. "&amp;_xlfn.XLOOKUP(AA20,tblQuestions[Question ID],tblQuestions[Option A])&amp;CHAR(10)&amp;"B. "&amp;_xlfn.XLOOKUP(AA20,tblQuestions[Question ID],tblQuestions[Option B])&amp;CHAR(10)&amp;"C. "&amp;_xlfn.XLOOKUP(AA20,tblQuestions[Question ID],tblQuestions[Option C])&amp;CHAR(10)&amp;"D. "&amp;_xlfn.XLOOKUP(AA20,tblQuestions[Question ID],tblQuestions[Option D]))</f>
        <v/>
      </c>
      <c r="C20" s="58"/>
      <c r="D20" s="58"/>
      <c r="E20" s="58"/>
      <c r="F20" s="58"/>
      <c r="G20" s="58"/>
      <c r="H20" s="58"/>
      <c r="J20" s="14" t="str">
        <f>IF(OR(AA20="",I20=""),"",_xlfn.XLOOKUP(AA20,tblQuestions[Question ID],tblQuestions[Correct Answer]))</f>
        <v/>
      </c>
      <c r="K20" s="14" t="str">
        <f>IF(AA20="","",IF(I20="","NOT ANSWERED",IF(UPPER(TRIM(I20))=_xlfn.XLOOKUP(AA20,tblQuestions[Question ID],tblQuestions[Correct Answer]),"CORRECT","INCORRECT")))</f>
        <v/>
      </c>
      <c r="L20" s="16" t="str">
        <f>IF(OR(AA20="",I20=""),"",_xlfn.XLOOKUP(AA20,tblQuestions[Question ID],tblQuestions[Explanation]))</f>
        <v/>
      </c>
      <c r="AA20" t="str">
        <f>IF(OR($AA$3&lt;1,12&gt;$AA$3),"",IFERROR(INDEX(QUESTION_BANK!$A$2:$A$510,MATCH(12,QUESTION_BANK!$P$2:$P$510,0)),""))</f>
        <v/>
      </c>
    </row>
    <row r="21" spans="1:27" ht="72" customHeight="1" x14ac:dyDescent="0.25">
      <c r="A21" s="15" t="str">
        <f>IF(AA21="","",13)</f>
        <v/>
      </c>
      <c r="B21" s="58" t="str">
        <f>IF(AA21="","",_xlfn.XLOOKUP(AA21,tblQuestions[Question ID],tblQuestions[Question])&amp;CHAR(10)&amp;"A. "&amp;_xlfn.XLOOKUP(AA21,tblQuestions[Question ID],tblQuestions[Option A])&amp;CHAR(10)&amp;"B. "&amp;_xlfn.XLOOKUP(AA21,tblQuestions[Question ID],tblQuestions[Option B])&amp;CHAR(10)&amp;"C. "&amp;_xlfn.XLOOKUP(AA21,tblQuestions[Question ID],tblQuestions[Option C])&amp;CHAR(10)&amp;"D. "&amp;_xlfn.XLOOKUP(AA21,tblQuestions[Question ID],tblQuestions[Option D]))</f>
        <v/>
      </c>
      <c r="C21" s="58"/>
      <c r="D21" s="58"/>
      <c r="E21" s="58"/>
      <c r="F21" s="58"/>
      <c r="G21" s="58"/>
      <c r="H21" s="58"/>
      <c r="J21" s="14" t="str">
        <f>IF(OR(AA21="",I21=""),"",_xlfn.XLOOKUP(AA21,tblQuestions[Question ID],tblQuestions[Correct Answer]))</f>
        <v/>
      </c>
      <c r="K21" s="14" t="str">
        <f>IF(AA21="","",IF(I21="","NOT ANSWERED",IF(UPPER(TRIM(I21))=_xlfn.XLOOKUP(AA21,tblQuestions[Question ID],tblQuestions[Correct Answer]),"CORRECT","INCORRECT")))</f>
        <v/>
      </c>
      <c r="L21" s="16" t="str">
        <f>IF(OR(AA21="",I21=""),"",_xlfn.XLOOKUP(AA21,tblQuestions[Question ID],tblQuestions[Explanation]))</f>
        <v/>
      </c>
      <c r="AA21" t="str">
        <f>IF(OR($AA$3&lt;1,13&gt;$AA$3),"",IFERROR(INDEX(QUESTION_BANK!$A$2:$A$510,MATCH(13,QUESTION_BANK!$P$2:$P$510,0)),""))</f>
        <v/>
      </c>
    </row>
    <row r="22" spans="1:27" ht="72" customHeight="1" x14ac:dyDescent="0.25">
      <c r="A22" s="15" t="str">
        <f>IF(AA22="","",14)</f>
        <v/>
      </c>
      <c r="B22" s="58" t="str">
        <f>IF(AA22="","",_xlfn.XLOOKUP(AA22,tblQuestions[Question ID],tblQuestions[Question])&amp;CHAR(10)&amp;"A. "&amp;_xlfn.XLOOKUP(AA22,tblQuestions[Question ID],tblQuestions[Option A])&amp;CHAR(10)&amp;"B. "&amp;_xlfn.XLOOKUP(AA22,tblQuestions[Question ID],tblQuestions[Option B])&amp;CHAR(10)&amp;"C. "&amp;_xlfn.XLOOKUP(AA22,tblQuestions[Question ID],tblQuestions[Option C])&amp;CHAR(10)&amp;"D. "&amp;_xlfn.XLOOKUP(AA22,tblQuestions[Question ID],tblQuestions[Option D]))</f>
        <v/>
      </c>
      <c r="C22" s="58"/>
      <c r="D22" s="58"/>
      <c r="E22" s="58"/>
      <c r="F22" s="58"/>
      <c r="G22" s="58"/>
      <c r="H22" s="58"/>
      <c r="J22" s="14" t="str">
        <f>IF(OR(AA22="",I22=""),"",_xlfn.XLOOKUP(AA22,tblQuestions[Question ID],tblQuestions[Correct Answer]))</f>
        <v/>
      </c>
      <c r="K22" s="14" t="str">
        <f>IF(AA22="","",IF(I22="","NOT ANSWERED",IF(UPPER(TRIM(I22))=_xlfn.XLOOKUP(AA22,tblQuestions[Question ID],tblQuestions[Correct Answer]),"CORRECT","INCORRECT")))</f>
        <v/>
      </c>
      <c r="L22" s="16" t="str">
        <f>IF(OR(AA22="",I22=""),"",_xlfn.XLOOKUP(AA22,tblQuestions[Question ID],tblQuestions[Explanation]))</f>
        <v/>
      </c>
      <c r="AA22" t="str">
        <f>IF(OR($AA$3&lt;1,14&gt;$AA$3),"",IFERROR(INDEX(QUESTION_BANK!$A$2:$A$510,MATCH(14,QUESTION_BANK!$P$2:$P$510,0)),""))</f>
        <v/>
      </c>
    </row>
    <row r="23" spans="1:27" ht="72" customHeight="1" x14ac:dyDescent="0.25">
      <c r="A23" s="15" t="str">
        <f>IF(AA23="","",15)</f>
        <v/>
      </c>
      <c r="B23" s="58" t="str">
        <f>IF(AA23="","",_xlfn.XLOOKUP(AA23,tblQuestions[Question ID],tblQuestions[Question])&amp;CHAR(10)&amp;"A. "&amp;_xlfn.XLOOKUP(AA23,tblQuestions[Question ID],tblQuestions[Option A])&amp;CHAR(10)&amp;"B. "&amp;_xlfn.XLOOKUP(AA23,tblQuestions[Question ID],tblQuestions[Option B])&amp;CHAR(10)&amp;"C. "&amp;_xlfn.XLOOKUP(AA23,tblQuestions[Question ID],tblQuestions[Option C])&amp;CHAR(10)&amp;"D. "&amp;_xlfn.XLOOKUP(AA23,tblQuestions[Question ID],tblQuestions[Option D]))</f>
        <v/>
      </c>
      <c r="C23" s="58"/>
      <c r="D23" s="58"/>
      <c r="E23" s="58"/>
      <c r="F23" s="58"/>
      <c r="G23" s="58"/>
      <c r="H23" s="58"/>
      <c r="J23" s="14" t="str">
        <f>IF(OR(AA23="",I23=""),"",_xlfn.XLOOKUP(AA23,tblQuestions[Question ID],tblQuestions[Correct Answer]))</f>
        <v/>
      </c>
      <c r="K23" s="14" t="str">
        <f>IF(AA23="","",IF(I23="","NOT ANSWERED",IF(UPPER(TRIM(I23))=_xlfn.XLOOKUP(AA23,tblQuestions[Question ID],tblQuestions[Correct Answer]),"CORRECT","INCORRECT")))</f>
        <v/>
      </c>
      <c r="L23" s="16" t="str">
        <f>IF(OR(AA23="",I23=""),"",_xlfn.XLOOKUP(AA23,tblQuestions[Question ID],tblQuestions[Explanation]))</f>
        <v/>
      </c>
      <c r="AA23" t="str">
        <f>IF(OR($AA$3&lt;1,15&gt;$AA$3),"",IFERROR(INDEX(QUESTION_BANK!$A$2:$A$510,MATCH(15,QUESTION_BANK!$P$2:$P$510,0)),""))</f>
        <v/>
      </c>
    </row>
    <row r="24" spans="1:27" ht="72" customHeight="1" x14ac:dyDescent="0.25">
      <c r="A24" s="15" t="str">
        <f>IF(AA24="","",16)</f>
        <v/>
      </c>
      <c r="B24" s="58" t="str">
        <f>IF(AA24="","",_xlfn.XLOOKUP(AA24,tblQuestions[Question ID],tblQuestions[Question])&amp;CHAR(10)&amp;"A. "&amp;_xlfn.XLOOKUP(AA24,tblQuestions[Question ID],tblQuestions[Option A])&amp;CHAR(10)&amp;"B. "&amp;_xlfn.XLOOKUP(AA24,tblQuestions[Question ID],tblQuestions[Option B])&amp;CHAR(10)&amp;"C. "&amp;_xlfn.XLOOKUP(AA24,tblQuestions[Question ID],tblQuestions[Option C])&amp;CHAR(10)&amp;"D. "&amp;_xlfn.XLOOKUP(AA24,tblQuestions[Question ID],tblQuestions[Option D]))</f>
        <v/>
      </c>
      <c r="C24" s="58"/>
      <c r="D24" s="58"/>
      <c r="E24" s="58"/>
      <c r="F24" s="58"/>
      <c r="G24" s="58"/>
      <c r="H24" s="58"/>
      <c r="J24" s="14" t="str">
        <f>IF(OR(AA24="",I24=""),"",_xlfn.XLOOKUP(AA24,tblQuestions[Question ID],tblQuestions[Correct Answer]))</f>
        <v/>
      </c>
      <c r="K24" s="14" t="str">
        <f>IF(AA24="","",IF(I24="","NOT ANSWERED",IF(UPPER(TRIM(I24))=_xlfn.XLOOKUP(AA24,tblQuestions[Question ID],tblQuestions[Correct Answer]),"CORRECT","INCORRECT")))</f>
        <v/>
      </c>
      <c r="L24" s="16" t="str">
        <f>IF(OR(AA24="",I24=""),"",_xlfn.XLOOKUP(AA24,tblQuestions[Question ID],tblQuestions[Explanation]))</f>
        <v/>
      </c>
      <c r="AA24" t="str">
        <f>IF(OR($AA$3&lt;1,16&gt;$AA$3),"",IFERROR(INDEX(QUESTION_BANK!$A$2:$A$510,MATCH(16,QUESTION_BANK!$P$2:$P$510,0)),""))</f>
        <v/>
      </c>
    </row>
    <row r="25" spans="1:27" ht="72" customHeight="1" x14ac:dyDescent="0.25">
      <c r="A25" s="15" t="str">
        <f>IF(AA25="","",17)</f>
        <v/>
      </c>
      <c r="B25" s="58" t="str">
        <f>IF(AA25="","",_xlfn.XLOOKUP(AA25,tblQuestions[Question ID],tblQuestions[Question])&amp;CHAR(10)&amp;"A. "&amp;_xlfn.XLOOKUP(AA25,tblQuestions[Question ID],tblQuestions[Option A])&amp;CHAR(10)&amp;"B. "&amp;_xlfn.XLOOKUP(AA25,tblQuestions[Question ID],tblQuestions[Option B])&amp;CHAR(10)&amp;"C. "&amp;_xlfn.XLOOKUP(AA25,tblQuestions[Question ID],tblQuestions[Option C])&amp;CHAR(10)&amp;"D. "&amp;_xlfn.XLOOKUP(AA25,tblQuestions[Question ID],tblQuestions[Option D]))</f>
        <v/>
      </c>
      <c r="C25" s="58"/>
      <c r="D25" s="58"/>
      <c r="E25" s="58"/>
      <c r="F25" s="58"/>
      <c r="G25" s="58"/>
      <c r="H25" s="58"/>
      <c r="J25" s="14" t="str">
        <f>IF(OR(AA25="",I25=""),"",_xlfn.XLOOKUP(AA25,tblQuestions[Question ID],tblQuestions[Correct Answer]))</f>
        <v/>
      </c>
      <c r="K25" s="14" t="str">
        <f>IF(AA25="","",IF(I25="","NOT ANSWERED",IF(UPPER(TRIM(I25))=_xlfn.XLOOKUP(AA25,tblQuestions[Question ID],tblQuestions[Correct Answer]),"CORRECT","INCORRECT")))</f>
        <v/>
      </c>
      <c r="L25" s="16" t="str">
        <f>IF(OR(AA25="",I25=""),"",_xlfn.XLOOKUP(AA25,tblQuestions[Question ID],tblQuestions[Explanation]))</f>
        <v/>
      </c>
      <c r="AA25" t="str">
        <f>IF(OR($AA$3&lt;1,17&gt;$AA$3),"",IFERROR(INDEX(QUESTION_BANK!$A$2:$A$510,MATCH(17,QUESTION_BANK!$P$2:$P$510,0)),""))</f>
        <v/>
      </c>
    </row>
    <row r="26" spans="1:27" ht="72" customHeight="1" x14ac:dyDescent="0.25">
      <c r="A26" s="15" t="str">
        <f>IF(AA26="","",18)</f>
        <v/>
      </c>
      <c r="B26" s="58" t="str">
        <f>IF(AA26="","",_xlfn.XLOOKUP(AA26,tblQuestions[Question ID],tblQuestions[Question])&amp;CHAR(10)&amp;"A. "&amp;_xlfn.XLOOKUP(AA26,tblQuestions[Question ID],tblQuestions[Option A])&amp;CHAR(10)&amp;"B. "&amp;_xlfn.XLOOKUP(AA26,tblQuestions[Question ID],tblQuestions[Option B])&amp;CHAR(10)&amp;"C. "&amp;_xlfn.XLOOKUP(AA26,tblQuestions[Question ID],tblQuestions[Option C])&amp;CHAR(10)&amp;"D. "&amp;_xlfn.XLOOKUP(AA26,tblQuestions[Question ID],tblQuestions[Option D]))</f>
        <v/>
      </c>
      <c r="C26" s="58"/>
      <c r="D26" s="58"/>
      <c r="E26" s="58"/>
      <c r="F26" s="58"/>
      <c r="G26" s="58"/>
      <c r="H26" s="58"/>
      <c r="J26" s="14" t="str">
        <f>IF(OR(AA26="",I26=""),"",_xlfn.XLOOKUP(AA26,tblQuestions[Question ID],tblQuestions[Correct Answer]))</f>
        <v/>
      </c>
      <c r="K26" s="14" t="str">
        <f>IF(AA26="","",IF(I26="","NOT ANSWERED",IF(UPPER(TRIM(I26))=_xlfn.XLOOKUP(AA26,tblQuestions[Question ID],tblQuestions[Correct Answer]),"CORRECT","INCORRECT")))</f>
        <v/>
      </c>
      <c r="L26" s="16" t="str">
        <f>IF(OR(AA26="",I26=""),"",_xlfn.XLOOKUP(AA26,tblQuestions[Question ID],tblQuestions[Explanation]))</f>
        <v/>
      </c>
      <c r="AA26" t="str">
        <f>IF(OR($AA$3&lt;1,18&gt;$AA$3),"",IFERROR(INDEX(QUESTION_BANK!$A$2:$A$510,MATCH(18,QUESTION_BANK!$P$2:$P$510,0)),""))</f>
        <v/>
      </c>
    </row>
    <row r="27" spans="1:27" ht="72" customHeight="1" x14ac:dyDescent="0.25">
      <c r="A27" s="15" t="str">
        <f>IF(AA27="","",19)</f>
        <v/>
      </c>
      <c r="B27" s="58" t="str">
        <f>IF(AA27="","",_xlfn.XLOOKUP(AA27,tblQuestions[Question ID],tblQuestions[Question])&amp;CHAR(10)&amp;"A. "&amp;_xlfn.XLOOKUP(AA27,tblQuestions[Question ID],tblQuestions[Option A])&amp;CHAR(10)&amp;"B. "&amp;_xlfn.XLOOKUP(AA27,tblQuestions[Question ID],tblQuestions[Option B])&amp;CHAR(10)&amp;"C. "&amp;_xlfn.XLOOKUP(AA27,tblQuestions[Question ID],tblQuestions[Option C])&amp;CHAR(10)&amp;"D. "&amp;_xlfn.XLOOKUP(AA27,tblQuestions[Question ID],tblQuestions[Option D]))</f>
        <v/>
      </c>
      <c r="C27" s="58"/>
      <c r="D27" s="58"/>
      <c r="E27" s="58"/>
      <c r="F27" s="58"/>
      <c r="G27" s="58"/>
      <c r="H27" s="58"/>
      <c r="J27" s="14" t="str">
        <f>IF(OR(AA27="",I27=""),"",_xlfn.XLOOKUP(AA27,tblQuestions[Question ID],tblQuestions[Correct Answer]))</f>
        <v/>
      </c>
      <c r="K27" s="14" t="str">
        <f>IF(AA27="","",IF(I27="","NOT ANSWERED",IF(UPPER(TRIM(I27))=_xlfn.XLOOKUP(AA27,tblQuestions[Question ID],tblQuestions[Correct Answer]),"CORRECT","INCORRECT")))</f>
        <v/>
      </c>
      <c r="L27" s="16" t="str">
        <f>IF(OR(AA27="",I27=""),"",_xlfn.XLOOKUP(AA27,tblQuestions[Question ID],tblQuestions[Explanation]))</f>
        <v/>
      </c>
      <c r="AA27" t="str">
        <f>IF(OR($AA$3&lt;1,19&gt;$AA$3),"",IFERROR(INDEX(QUESTION_BANK!$A$2:$A$510,MATCH(19,QUESTION_BANK!$P$2:$P$510,0)),""))</f>
        <v/>
      </c>
    </row>
    <row r="28" spans="1:27" ht="72" customHeight="1" x14ac:dyDescent="0.25">
      <c r="A28" s="15" t="str">
        <f>IF(AA28="","",20)</f>
        <v/>
      </c>
      <c r="B28" s="58" t="str">
        <f>IF(AA28="","",_xlfn.XLOOKUP(AA28,tblQuestions[Question ID],tblQuestions[Question])&amp;CHAR(10)&amp;"A. "&amp;_xlfn.XLOOKUP(AA28,tblQuestions[Question ID],tblQuestions[Option A])&amp;CHAR(10)&amp;"B. "&amp;_xlfn.XLOOKUP(AA28,tblQuestions[Question ID],tblQuestions[Option B])&amp;CHAR(10)&amp;"C. "&amp;_xlfn.XLOOKUP(AA28,tblQuestions[Question ID],tblQuestions[Option C])&amp;CHAR(10)&amp;"D. "&amp;_xlfn.XLOOKUP(AA28,tblQuestions[Question ID],tblQuestions[Option D]))</f>
        <v/>
      </c>
      <c r="C28" s="58"/>
      <c r="D28" s="58"/>
      <c r="E28" s="58"/>
      <c r="F28" s="58"/>
      <c r="G28" s="58"/>
      <c r="H28" s="58"/>
      <c r="J28" s="14" t="str">
        <f>IF(OR(AA28="",I28=""),"",_xlfn.XLOOKUP(AA28,tblQuestions[Question ID],tblQuestions[Correct Answer]))</f>
        <v/>
      </c>
      <c r="K28" s="14" t="str">
        <f>IF(AA28="","",IF(I28="","NOT ANSWERED",IF(UPPER(TRIM(I28))=_xlfn.XLOOKUP(AA28,tblQuestions[Question ID],tblQuestions[Correct Answer]),"CORRECT","INCORRECT")))</f>
        <v/>
      </c>
      <c r="L28" s="16" t="str">
        <f>IF(OR(AA28="",I28=""),"",_xlfn.XLOOKUP(AA28,tblQuestions[Question ID],tblQuestions[Explanation]))</f>
        <v/>
      </c>
      <c r="AA28" t="str">
        <f>IF(OR($AA$3&lt;1,20&gt;$AA$3),"",IFERROR(INDEX(QUESTION_BANK!$A$2:$A$510,MATCH(20,QUESTION_BANK!$P$2:$P$510,0)),""))</f>
        <v/>
      </c>
    </row>
  </sheetData>
  <mergeCells count="30">
    <mergeCell ref="B25:H25"/>
    <mergeCell ref="B26:H26"/>
    <mergeCell ref="B27:H27"/>
    <mergeCell ref="B28:H28"/>
    <mergeCell ref="B8:H8"/>
    <mergeCell ref="B23:H23"/>
    <mergeCell ref="B24:H24"/>
    <mergeCell ref="B12:H12"/>
    <mergeCell ref="N5:Q5"/>
    <mergeCell ref="B19:H19"/>
    <mergeCell ref="B20:H20"/>
    <mergeCell ref="B21:H21"/>
    <mergeCell ref="B22:H22"/>
    <mergeCell ref="B13:H13"/>
    <mergeCell ref="B14:H14"/>
    <mergeCell ref="B15:H15"/>
    <mergeCell ref="B16:H16"/>
    <mergeCell ref="B17:H17"/>
    <mergeCell ref="B18:H18"/>
    <mergeCell ref="C6:L6"/>
    <mergeCell ref="A7:L7"/>
    <mergeCell ref="B9:H9"/>
    <mergeCell ref="B10:H10"/>
    <mergeCell ref="B11:H11"/>
    <mergeCell ref="A1:L1"/>
    <mergeCell ref="A2:L2"/>
    <mergeCell ref="A3:L3"/>
    <mergeCell ref="B5:D5"/>
    <mergeCell ref="G5:I5"/>
    <mergeCell ref="K5:L5"/>
  </mergeCells>
  <conditionalFormatting sqref="K9:K28">
    <cfRule type="expression" dxfId="15" priority="1">
      <formula>K9="CORRECT"</formula>
    </cfRule>
    <cfRule type="expression" dxfId="14" priority="2">
      <formula>K9="INCORRECT"</formula>
    </cfRule>
    <cfRule type="expression" dxfId="13" priority="3">
      <formula>K9="NOT ANSWERED"</formula>
    </cfRule>
  </conditionalFormatting>
  <dataValidations count="3">
    <dataValidation type="list" allowBlank="1" showInputMessage="1" showErrorMessage="1" sqref="B5" xr:uid="{E870C09F-5485-4C82-A395-D9C890E625EE}">
      <formula1>lstSubjects</formula1>
    </dataValidation>
    <dataValidation type="list" allowBlank="1" showInputMessage="1" showErrorMessage="1" sqref="G5" xr:uid="{C8F91303-E7F3-48BE-B7BF-FE06D028A123}">
      <formula1>lstDifficulty</formula1>
    </dataValidation>
    <dataValidation type="list" allowBlank="1" showInputMessage="1" showErrorMessage="1" sqref="K5" xr:uid="{1E2D82C9-529C-48E2-9ED2-796D208F205C}">
      <formula1>lstCount</formula1>
    </dataValidation>
  </dataValidations>
  <hyperlinks>
    <hyperlink ref="A3" location="'HOME'!A1" tooltip="Back to Home" display="← HOME" xr:uid="{80B80A95-09E0-44A4-8CC1-791D4AB0FC55}"/>
    <hyperlink ref="N14" location="'RESULTS'!A1" tooltip="Open results" display="→ RESULTS" xr:uid="{97B53FCF-BAD7-40C9-8020-FF3FDFF39F3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DFFA-84DF-4190-9FA4-B6644115E8F0}">
  <dimension ref="A1:R60"/>
  <sheetViews>
    <sheetView workbookViewId="0">
      <pane ySplit="1" topLeftCell="A49" activePane="bottomLeft" state="frozen"/>
      <selection pane="bottomLeft" activeCell="G63" sqref="G63"/>
    </sheetView>
  </sheetViews>
  <sheetFormatPr defaultRowHeight="15" x14ac:dyDescent="0.25"/>
  <cols>
    <col min="1" max="1" width="17.140625" customWidth="1"/>
    <col min="2" max="2" width="21" customWidth="1"/>
    <col min="3" max="4" width="24.7109375" customWidth="1"/>
    <col min="5" max="5" width="17.140625" customWidth="1"/>
    <col min="6" max="6" width="62.85546875" customWidth="1"/>
    <col min="7" max="7" width="68.5703125" customWidth="1"/>
    <col min="8" max="8" width="64.7109375" customWidth="1"/>
    <col min="9" max="9" width="40" customWidth="1"/>
    <col min="10" max="10" width="36.140625" customWidth="1"/>
    <col min="11" max="11" width="21" customWidth="1"/>
    <col min="12" max="12" width="81.85546875" customWidth="1"/>
    <col min="13" max="13" width="13.28515625" customWidth="1"/>
    <col min="14" max="16" width="0" hidden="1" customWidth="1"/>
  </cols>
  <sheetData>
    <row r="1" spans="1:18" ht="21.95" customHeight="1" x14ac:dyDescent="0.25">
      <c r="A1" s="2" t="s">
        <v>20</v>
      </c>
      <c r="B1" s="2" t="s">
        <v>21</v>
      </c>
      <c r="C1" s="2" t="s">
        <v>22</v>
      </c>
      <c r="D1" s="2" t="s">
        <v>23</v>
      </c>
      <c r="E1" s="2" t="s">
        <v>7</v>
      </c>
      <c r="F1" s="2" t="s">
        <v>24</v>
      </c>
      <c r="G1" s="2" t="s">
        <v>25</v>
      </c>
      <c r="H1" s="2" t="s">
        <v>26</v>
      </c>
      <c r="I1" s="2" t="s">
        <v>27</v>
      </c>
      <c r="J1" s="2" t="s">
        <v>28</v>
      </c>
      <c r="K1" s="2" t="s">
        <v>29</v>
      </c>
      <c r="L1" s="2" t="s">
        <v>30</v>
      </c>
      <c r="M1" s="2" t="s">
        <v>31</v>
      </c>
      <c r="N1" s="2" t="s">
        <v>351</v>
      </c>
      <c r="O1" s="6" t="s">
        <v>352</v>
      </c>
      <c r="P1" s="2" t="s">
        <v>353</v>
      </c>
      <c r="R1" s="97" t="s">
        <v>516</v>
      </c>
    </row>
    <row r="2" spans="1:18" ht="36" customHeight="1" x14ac:dyDescent="0.25">
      <c r="A2" s="2" t="s">
        <v>32</v>
      </c>
      <c r="B2" s="2" t="s">
        <v>2</v>
      </c>
      <c r="C2" s="2" t="s">
        <v>33</v>
      </c>
      <c r="D2" s="2" t="s">
        <v>34</v>
      </c>
      <c r="E2" s="2" t="s">
        <v>9</v>
      </c>
      <c r="F2" s="2" t="s">
        <v>35</v>
      </c>
      <c r="G2" s="2" t="s">
        <v>36</v>
      </c>
      <c r="H2" s="2" t="s">
        <v>37</v>
      </c>
      <c r="I2" s="2" t="s">
        <v>38</v>
      </c>
      <c r="J2" s="4" t="s">
        <v>342</v>
      </c>
      <c r="K2" s="2" t="s">
        <v>15</v>
      </c>
      <c r="L2" s="2" t="s">
        <v>39</v>
      </c>
      <c r="M2" s="2" t="s">
        <v>40</v>
      </c>
      <c r="N2" s="2">
        <f>IF(AND(M2="Yes",OR(QUIZ!$B$5="All Subjects",B2=QUIZ!$B$5),OR(QUIZ!$G$5="All Difficulties",E2=QUIZ!$G$5)),1,0)</f>
        <v>0</v>
      </c>
      <c r="O2" s="2">
        <f>IF(N2=0,999999,MOD(IFERROR(VALUE(RIGHT(A2,3)),ROW())*7919+IF(N(QUIZ!$B$6)=0,1,QUIZ!$B$6)*104729+ROW()*IF(N(QUIZ!$B$6)=0,1,QUIZ!$B$6),999983)+ROW()/1000)</f>
        <v>999999</v>
      </c>
      <c r="P2" s="2" t="str">
        <f t="shared" ref="P2:P33" si="0">IF(N2=0,"",COUNTIFS($N$2:$N$510,1,$O$2:$O$510,"&lt;"&amp;O2)+1)</f>
        <v/>
      </c>
    </row>
    <row r="3" spans="1:18" ht="36" customHeight="1" x14ac:dyDescent="0.25">
      <c r="A3" s="2" t="s">
        <v>41</v>
      </c>
      <c r="B3" s="2" t="s">
        <v>2</v>
      </c>
      <c r="C3" s="2" t="s">
        <v>33</v>
      </c>
      <c r="D3" s="2" t="s">
        <v>34</v>
      </c>
      <c r="E3" s="2" t="s">
        <v>10</v>
      </c>
      <c r="F3" s="2" t="s">
        <v>42</v>
      </c>
      <c r="G3" s="4" t="s">
        <v>337</v>
      </c>
      <c r="H3" s="2" t="s">
        <v>43</v>
      </c>
      <c r="I3" s="2" t="s">
        <v>44</v>
      </c>
      <c r="J3" s="2" t="s">
        <v>45</v>
      </c>
      <c r="K3" s="2" t="s">
        <v>16</v>
      </c>
      <c r="L3" s="2" t="s">
        <v>46</v>
      </c>
      <c r="M3" s="2" t="s">
        <v>40</v>
      </c>
      <c r="N3" s="2">
        <f>IF(AND(M3="Yes",OR(QUIZ!$B$5="All Subjects",B3=QUIZ!$B$5),OR(QUIZ!$G$5="All Difficulties",E3=QUIZ!$G$5)),1,0)</f>
        <v>1</v>
      </c>
      <c r="O3" s="2">
        <f>IF(N3=0,999999,MOD(IFERROR(VALUE(RIGHT(A3,3)),ROW())*7919+IF(N(QUIZ!$B$6)=0,1,QUIZ!$B$6)*104729+ROW()*IF(N(QUIZ!$B$6)=0,1,QUIZ!$B$6),999983)+ROW()/1000)</f>
        <v>120570.003</v>
      </c>
      <c r="P3" s="2">
        <f t="shared" si="0"/>
        <v>2</v>
      </c>
    </row>
    <row r="4" spans="1:18" ht="36" customHeight="1" x14ac:dyDescent="0.25">
      <c r="A4" s="2" t="s">
        <v>47</v>
      </c>
      <c r="B4" s="2" t="s">
        <v>2</v>
      </c>
      <c r="C4" s="2" t="s">
        <v>33</v>
      </c>
      <c r="D4" s="2" t="s">
        <v>48</v>
      </c>
      <c r="E4" s="2" t="s">
        <v>9</v>
      </c>
      <c r="F4" s="2" t="s">
        <v>49</v>
      </c>
      <c r="G4" s="2" t="s">
        <v>50</v>
      </c>
      <c r="H4" s="2" t="s">
        <v>51</v>
      </c>
      <c r="I4" s="2" t="s">
        <v>52</v>
      </c>
      <c r="J4" s="2" t="s">
        <v>53</v>
      </c>
      <c r="K4" s="2" t="s">
        <v>14</v>
      </c>
      <c r="L4" s="2" t="s">
        <v>54</v>
      </c>
      <c r="M4" s="2" t="s">
        <v>40</v>
      </c>
      <c r="N4" s="2">
        <f>IF(AND(M4="Yes",OR(QUIZ!$B$5="All Subjects",B4=QUIZ!$B$5),OR(QUIZ!$G$5="All Difficulties",E4=QUIZ!$G$5)),1,0)</f>
        <v>0</v>
      </c>
      <c r="O4" s="2">
        <f>IF(N4=0,999999,MOD(IFERROR(VALUE(RIGHT(A4,3)),ROW())*7919+IF(N(QUIZ!$B$6)=0,1,QUIZ!$B$6)*104729+ROW()*IF(N(QUIZ!$B$6)=0,1,QUIZ!$B$6),999983)+ROW()/1000)</f>
        <v>999999</v>
      </c>
      <c r="P4" s="2" t="str">
        <f t="shared" si="0"/>
        <v/>
      </c>
    </row>
    <row r="5" spans="1:18" ht="36" customHeight="1" x14ac:dyDescent="0.25">
      <c r="A5" s="2" t="s">
        <v>55</v>
      </c>
      <c r="B5" s="2" t="s">
        <v>2</v>
      </c>
      <c r="C5" s="2" t="s">
        <v>33</v>
      </c>
      <c r="D5" s="2" t="s">
        <v>48</v>
      </c>
      <c r="E5" s="2" t="s">
        <v>10</v>
      </c>
      <c r="F5" s="2" t="s">
        <v>56</v>
      </c>
      <c r="G5" s="2" t="s">
        <v>52</v>
      </c>
      <c r="H5" s="2" t="s">
        <v>57</v>
      </c>
      <c r="I5" s="2" t="s">
        <v>58</v>
      </c>
      <c r="J5" s="2" t="s">
        <v>59</v>
      </c>
      <c r="K5" s="2" t="s">
        <v>16</v>
      </c>
      <c r="L5" s="2" t="s">
        <v>60</v>
      </c>
      <c r="M5" s="2" t="s">
        <v>40</v>
      </c>
      <c r="N5" s="2">
        <f>IF(AND(M5="Yes",OR(QUIZ!$B$5="All Subjects",B5=QUIZ!$B$5),OR(QUIZ!$G$5="All Difficulties",E5=QUIZ!$G$5)),1,0)</f>
        <v>1</v>
      </c>
      <c r="O5" s="2">
        <f>IF(N5=0,999999,MOD(IFERROR(VALUE(RIGHT(A5,3)),ROW())*7919+IF(N(QUIZ!$B$6)=0,1,QUIZ!$B$6)*104729+ROW()*IF(N(QUIZ!$B$6)=0,1,QUIZ!$B$6),999983)+ROW()/1000)</f>
        <v>136410.005</v>
      </c>
      <c r="P5" s="2">
        <f t="shared" si="0"/>
        <v>5</v>
      </c>
    </row>
    <row r="6" spans="1:18" ht="36" customHeight="1" x14ac:dyDescent="0.25">
      <c r="A6" s="2" t="s">
        <v>61</v>
      </c>
      <c r="B6" s="2" t="s">
        <v>2</v>
      </c>
      <c r="C6" s="2" t="s">
        <v>62</v>
      </c>
      <c r="D6" s="2" t="s">
        <v>63</v>
      </c>
      <c r="E6" s="2" t="s">
        <v>9</v>
      </c>
      <c r="F6" s="2" t="s">
        <v>64</v>
      </c>
      <c r="G6" s="2" t="s">
        <v>65</v>
      </c>
      <c r="H6" s="2" t="s">
        <v>66</v>
      </c>
      <c r="I6" s="2" t="s">
        <v>67</v>
      </c>
      <c r="J6" s="2" t="s">
        <v>68</v>
      </c>
      <c r="K6" s="2" t="s">
        <v>15</v>
      </c>
      <c r="L6" s="2" t="s">
        <v>69</v>
      </c>
      <c r="M6" s="2" t="s">
        <v>40</v>
      </c>
      <c r="N6" s="2">
        <f>IF(AND(M6="Yes",OR(QUIZ!$B$5="All Subjects",B6=QUIZ!$B$5),OR(QUIZ!$G$5="All Difficulties",E6=QUIZ!$G$5)),1,0)</f>
        <v>0</v>
      </c>
      <c r="O6" s="2">
        <f>IF(N6=0,999999,MOD(IFERROR(VALUE(RIGHT(A6,3)),ROW())*7919+IF(N(QUIZ!$B$6)=0,1,QUIZ!$B$6)*104729+ROW()*IF(N(QUIZ!$B$6)=0,1,QUIZ!$B$6),999983)+ROW()/1000)</f>
        <v>999999</v>
      </c>
      <c r="P6" s="2" t="str">
        <f t="shared" si="0"/>
        <v/>
      </c>
    </row>
    <row r="7" spans="1:18" ht="36" customHeight="1" x14ac:dyDescent="0.25">
      <c r="A7" s="2" t="s">
        <v>70</v>
      </c>
      <c r="B7" s="2" t="s">
        <v>2</v>
      </c>
      <c r="C7" s="2" t="s">
        <v>62</v>
      </c>
      <c r="D7" s="2" t="s">
        <v>71</v>
      </c>
      <c r="E7" s="2" t="s">
        <v>10</v>
      </c>
      <c r="F7" s="2" t="s">
        <v>72</v>
      </c>
      <c r="G7" s="2" t="s">
        <v>73</v>
      </c>
      <c r="H7" s="2" t="s">
        <v>74</v>
      </c>
      <c r="I7" s="2" t="s">
        <v>75</v>
      </c>
      <c r="J7" s="2" t="s">
        <v>76</v>
      </c>
      <c r="K7" s="2" t="s">
        <v>15</v>
      </c>
      <c r="L7" s="2" t="s">
        <v>77</v>
      </c>
      <c r="M7" s="2" t="s">
        <v>40</v>
      </c>
      <c r="N7" s="2">
        <f>IF(AND(M7="Yes",OR(QUIZ!$B$5="All Subjects",B7=QUIZ!$B$5),OR(QUIZ!$G$5="All Difficulties",E7=QUIZ!$G$5)),1,0)</f>
        <v>1</v>
      </c>
      <c r="O7" s="2">
        <f>IF(N7=0,999999,MOD(IFERROR(VALUE(RIGHT(A7,3)),ROW())*7919+IF(N(QUIZ!$B$6)=0,1,QUIZ!$B$6)*104729+ROW()*IF(N(QUIZ!$B$6)=0,1,QUIZ!$B$6),999983)+ROW()/1000)</f>
        <v>152250.00700000001</v>
      </c>
      <c r="P7" s="2">
        <f t="shared" si="0"/>
        <v>8</v>
      </c>
    </row>
    <row r="8" spans="1:18" ht="36" customHeight="1" x14ac:dyDescent="0.25">
      <c r="A8" s="2" t="s">
        <v>78</v>
      </c>
      <c r="B8" s="2" t="s">
        <v>2</v>
      </c>
      <c r="C8" s="2" t="s">
        <v>79</v>
      </c>
      <c r="D8" s="2" t="s">
        <v>80</v>
      </c>
      <c r="E8" s="2" t="s">
        <v>9</v>
      </c>
      <c r="F8" s="2" t="s">
        <v>81</v>
      </c>
      <c r="G8" s="4" t="s">
        <v>343</v>
      </c>
      <c r="H8" s="4" t="s">
        <v>344</v>
      </c>
      <c r="I8" s="4" t="s">
        <v>345</v>
      </c>
      <c r="J8" s="4" t="s">
        <v>346</v>
      </c>
      <c r="K8" s="2" t="s">
        <v>15</v>
      </c>
      <c r="L8" s="2" t="s">
        <v>82</v>
      </c>
      <c r="M8" s="2" t="s">
        <v>40</v>
      </c>
      <c r="N8" s="2">
        <f>IF(AND(M8="Yes",OR(QUIZ!$B$5="All Subjects",B8=QUIZ!$B$5),OR(QUIZ!$G$5="All Difficulties",E8=QUIZ!$G$5)),1,0)</f>
        <v>0</v>
      </c>
      <c r="O8" s="2">
        <f>IF(N8=0,999999,MOD(IFERROR(VALUE(RIGHT(A8,3)),ROW())*7919+IF(N(QUIZ!$B$6)=0,1,QUIZ!$B$6)*104729+ROW()*IF(N(QUIZ!$B$6)=0,1,QUIZ!$B$6),999983)+ROW()/1000)</f>
        <v>999999</v>
      </c>
      <c r="P8" s="2" t="str">
        <f t="shared" si="0"/>
        <v/>
      </c>
    </row>
    <row r="9" spans="1:18" ht="36" customHeight="1" x14ac:dyDescent="0.25">
      <c r="A9" s="2" t="s">
        <v>83</v>
      </c>
      <c r="B9" s="2" t="s">
        <v>2</v>
      </c>
      <c r="C9" s="2" t="s">
        <v>79</v>
      </c>
      <c r="D9" s="2" t="s">
        <v>84</v>
      </c>
      <c r="E9" s="2" t="s">
        <v>10</v>
      </c>
      <c r="F9" s="2" t="s">
        <v>85</v>
      </c>
      <c r="G9" s="4" t="s">
        <v>338</v>
      </c>
      <c r="H9" s="4" t="s">
        <v>339</v>
      </c>
      <c r="I9" s="4" t="s">
        <v>340</v>
      </c>
      <c r="J9" s="4" t="s">
        <v>341</v>
      </c>
      <c r="K9" s="2" t="s">
        <v>16</v>
      </c>
      <c r="L9" s="2" t="s">
        <v>86</v>
      </c>
      <c r="M9" s="2" t="s">
        <v>40</v>
      </c>
      <c r="N9" s="2">
        <f>IF(AND(M9="Yes",OR(QUIZ!$B$5="All Subjects",B9=QUIZ!$B$5),OR(QUIZ!$G$5="All Difficulties",E9=QUIZ!$G$5)),1,0)</f>
        <v>1</v>
      </c>
      <c r="O9" s="2">
        <f>IF(N9=0,999999,MOD(IFERROR(VALUE(RIGHT(A9,3)),ROW())*7919+IF(N(QUIZ!$B$6)=0,1,QUIZ!$B$6)*104729+ROW()*IF(N(QUIZ!$B$6)=0,1,QUIZ!$B$6),999983)+ROW()/1000)</f>
        <v>168090.00899999999</v>
      </c>
      <c r="P9" s="2">
        <f t="shared" si="0"/>
        <v>11</v>
      </c>
    </row>
    <row r="10" spans="1:18" ht="36" customHeight="1" x14ac:dyDescent="0.25">
      <c r="A10" s="2" t="s">
        <v>87</v>
      </c>
      <c r="B10" s="2" t="s">
        <v>3</v>
      </c>
      <c r="C10" s="2" t="s">
        <v>88</v>
      </c>
      <c r="D10" s="2" t="s">
        <v>89</v>
      </c>
      <c r="E10" s="2" t="s">
        <v>9</v>
      </c>
      <c r="F10" s="2" t="s">
        <v>90</v>
      </c>
      <c r="G10" s="2" t="s">
        <v>91</v>
      </c>
      <c r="H10" s="2" t="s">
        <v>92</v>
      </c>
      <c r="I10" s="2" t="s">
        <v>93</v>
      </c>
      <c r="J10" s="2" t="s">
        <v>94</v>
      </c>
      <c r="K10" s="2" t="s">
        <v>16</v>
      </c>
      <c r="L10" s="2" t="s">
        <v>95</v>
      </c>
      <c r="M10" s="2" t="s">
        <v>40</v>
      </c>
      <c r="N10" s="2">
        <f>IF(AND(M10="Yes",OR(QUIZ!$B$5="All Subjects",B10=QUIZ!$B$5),OR(QUIZ!$G$5="All Difficulties",E10=QUIZ!$G$5)),1,0)</f>
        <v>0</v>
      </c>
      <c r="O10" s="2">
        <f>IF(N10=0,999999,MOD(IFERROR(VALUE(RIGHT(A10,3)),ROW())*7919+IF(N(QUIZ!$B$6)=0,1,QUIZ!$B$6)*104729+ROW()*IF(N(QUIZ!$B$6)=0,1,QUIZ!$B$6),999983)+ROW()/1000)</f>
        <v>999999</v>
      </c>
      <c r="P10" s="2" t="str">
        <f t="shared" si="0"/>
        <v/>
      </c>
    </row>
    <row r="11" spans="1:18" ht="36" customHeight="1" x14ac:dyDescent="0.25">
      <c r="A11" s="2" t="s">
        <v>96</v>
      </c>
      <c r="B11" s="2" t="s">
        <v>3</v>
      </c>
      <c r="C11" s="2" t="s">
        <v>88</v>
      </c>
      <c r="D11" s="2" t="s">
        <v>97</v>
      </c>
      <c r="E11" s="2" t="s">
        <v>10</v>
      </c>
      <c r="F11" s="2" t="s">
        <v>98</v>
      </c>
      <c r="G11" s="2" t="s">
        <v>99</v>
      </c>
      <c r="H11" s="2" t="s">
        <v>100</v>
      </c>
      <c r="I11" s="2" t="s">
        <v>101</v>
      </c>
      <c r="J11" s="2" t="s">
        <v>102</v>
      </c>
      <c r="K11" s="2" t="s">
        <v>16</v>
      </c>
      <c r="L11" s="2" t="s">
        <v>103</v>
      </c>
      <c r="M11" s="2" t="s">
        <v>40</v>
      </c>
      <c r="N11" s="2">
        <f>IF(AND(M11="Yes",OR(QUIZ!$B$5="All Subjects",B11=QUIZ!$B$5),OR(QUIZ!$G$5="All Difficulties",E11=QUIZ!$G$5)),1,0)</f>
        <v>0</v>
      </c>
      <c r="O11" s="2">
        <f>IF(N11=0,999999,MOD(IFERROR(VALUE(RIGHT(A11,3)),ROW())*7919+IF(N(QUIZ!$B$6)=0,1,QUIZ!$B$6)*104729+ROW()*IF(N(QUIZ!$B$6)=0,1,QUIZ!$B$6),999983)+ROW()/1000)</f>
        <v>999999</v>
      </c>
      <c r="P11" s="2" t="str">
        <f t="shared" si="0"/>
        <v/>
      </c>
    </row>
    <row r="12" spans="1:18" ht="36" customHeight="1" x14ac:dyDescent="0.25">
      <c r="A12" s="2" t="s">
        <v>104</v>
      </c>
      <c r="B12" s="2" t="s">
        <v>3</v>
      </c>
      <c r="C12" s="2" t="s">
        <v>105</v>
      </c>
      <c r="D12" s="2" t="s">
        <v>106</v>
      </c>
      <c r="E12" s="2" t="s">
        <v>9</v>
      </c>
      <c r="F12" s="2" t="s">
        <v>107</v>
      </c>
      <c r="G12" s="2" t="s">
        <v>108</v>
      </c>
      <c r="H12" s="2" t="s">
        <v>109</v>
      </c>
      <c r="I12" s="2" t="s">
        <v>110</v>
      </c>
      <c r="J12" s="2" t="s">
        <v>111</v>
      </c>
      <c r="K12" s="2" t="s">
        <v>15</v>
      </c>
      <c r="L12" s="2" t="s">
        <v>112</v>
      </c>
      <c r="M12" s="2" t="s">
        <v>40</v>
      </c>
      <c r="N12" s="2">
        <f>IF(AND(M12="Yes",OR(QUIZ!$B$5="All Subjects",B12=QUIZ!$B$5),OR(QUIZ!$G$5="All Difficulties",E12=QUIZ!$G$5)),1,0)</f>
        <v>0</v>
      </c>
      <c r="O12" s="2">
        <f>IF(N12=0,999999,MOD(IFERROR(VALUE(RIGHT(A12,3)),ROW())*7919+IF(N(QUIZ!$B$6)=0,1,QUIZ!$B$6)*104729+ROW()*IF(N(QUIZ!$B$6)=0,1,QUIZ!$B$6),999983)+ROW()/1000)</f>
        <v>999999</v>
      </c>
      <c r="P12" s="2" t="str">
        <f t="shared" si="0"/>
        <v/>
      </c>
    </row>
    <row r="13" spans="1:18" ht="36" customHeight="1" x14ac:dyDescent="0.25">
      <c r="A13" s="2" t="s">
        <v>113</v>
      </c>
      <c r="B13" s="2" t="s">
        <v>3</v>
      </c>
      <c r="C13" s="2" t="s">
        <v>105</v>
      </c>
      <c r="D13" s="2" t="s">
        <v>114</v>
      </c>
      <c r="E13" s="2" t="s">
        <v>10</v>
      </c>
      <c r="F13" s="2" t="s">
        <v>115</v>
      </c>
      <c r="G13" s="2" t="s">
        <v>116</v>
      </c>
      <c r="H13" s="2" t="s">
        <v>117</v>
      </c>
      <c r="I13" s="2" t="s">
        <v>118</v>
      </c>
      <c r="J13" s="2" t="s">
        <v>119</v>
      </c>
      <c r="K13" s="2" t="s">
        <v>15</v>
      </c>
      <c r="L13" s="2" t="s">
        <v>120</v>
      </c>
      <c r="M13" s="2" t="s">
        <v>40</v>
      </c>
      <c r="N13" s="2">
        <f>IF(AND(M13="Yes",OR(QUIZ!$B$5="All Subjects",B13=QUIZ!$B$5),OR(QUIZ!$G$5="All Difficulties",E13=QUIZ!$G$5)),1,0)</f>
        <v>0</v>
      </c>
      <c r="O13" s="2">
        <f>IF(N13=0,999999,MOD(IFERROR(VALUE(RIGHT(A13,3)),ROW())*7919+IF(N(QUIZ!$B$6)=0,1,QUIZ!$B$6)*104729+ROW()*IF(N(QUIZ!$B$6)=0,1,QUIZ!$B$6),999983)+ROW()/1000)</f>
        <v>999999</v>
      </c>
      <c r="P13" s="2" t="str">
        <f t="shared" si="0"/>
        <v/>
      </c>
    </row>
    <row r="14" spans="1:18" ht="36" customHeight="1" x14ac:dyDescent="0.25">
      <c r="A14" s="2" t="s">
        <v>121</v>
      </c>
      <c r="B14" s="2" t="s">
        <v>3</v>
      </c>
      <c r="C14" s="2" t="s">
        <v>122</v>
      </c>
      <c r="D14" s="2" t="s">
        <v>123</v>
      </c>
      <c r="E14" s="2" t="s">
        <v>9</v>
      </c>
      <c r="F14" s="2" t="s">
        <v>124</v>
      </c>
      <c r="G14" s="2" t="s">
        <v>125</v>
      </c>
      <c r="H14" s="2" t="s">
        <v>126</v>
      </c>
      <c r="I14" s="2" t="s">
        <v>127</v>
      </c>
      <c r="J14" s="2" t="s">
        <v>128</v>
      </c>
      <c r="K14" s="2" t="s">
        <v>14</v>
      </c>
      <c r="L14" s="2" t="s">
        <v>129</v>
      </c>
      <c r="M14" s="2" t="s">
        <v>40</v>
      </c>
      <c r="N14" s="2">
        <f>IF(AND(M14="Yes",OR(QUIZ!$B$5="All Subjects",B14=QUIZ!$B$5),OR(QUIZ!$G$5="All Difficulties",E14=QUIZ!$G$5)),1,0)</f>
        <v>0</v>
      </c>
      <c r="O14" s="2">
        <f>IF(N14=0,999999,MOD(IFERROR(VALUE(RIGHT(A14,3)),ROW())*7919+IF(N(QUIZ!$B$6)=0,1,QUIZ!$B$6)*104729+ROW()*IF(N(QUIZ!$B$6)=0,1,QUIZ!$B$6),999983)+ROW()/1000)</f>
        <v>999999</v>
      </c>
      <c r="P14" s="2" t="str">
        <f t="shared" si="0"/>
        <v/>
      </c>
    </row>
    <row r="15" spans="1:18" ht="36" customHeight="1" x14ac:dyDescent="0.25">
      <c r="A15" s="2" t="s">
        <v>130</v>
      </c>
      <c r="B15" s="2" t="s">
        <v>3</v>
      </c>
      <c r="C15" s="2" t="s">
        <v>122</v>
      </c>
      <c r="D15" s="2" t="s">
        <v>131</v>
      </c>
      <c r="E15" s="2" t="s">
        <v>10</v>
      </c>
      <c r="F15" s="2" t="s">
        <v>132</v>
      </c>
      <c r="G15" s="2" t="s">
        <v>133</v>
      </c>
      <c r="H15" s="2" t="s">
        <v>134</v>
      </c>
      <c r="I15" s="2" t="s">
        <v>135</v>
      </c>
      <c r="J15" s="2" t="s">
        <v>136</v>
      </c>
      <c r="K15" s="2" t="s">
        <v>14</v>
      </c>
      <c r="L15" s="2" t="s">
        <v>137</v>
      </c>
      <c r="M15" s="2" t="s">
        <v>40</v>
      </c>
      <c r="N15" s="2">
        <f>IF(AND(M15="Yes",OR(QUIZ!$B$5="All Subjects",B15=QUIZ!$B$5),OR(QUIZ!$G$5="All Difficulties",E15=QUIZ!$G$5)),1,0)</f>
        <v>0</v>
      </c>
      <c r="O15" s="2">
        <f>IF(N15=0,999999,MOD(IFERROR(VALUE(RIGHT(A15,3)),ROW())*7919+IF(N(QUIZ!$B$6)=0,1,QUIZ!$B$6)*104729+ROW()*IF(N(QUIZ!$B$6)=0,1,QUIZ!$B$6),999983)+ROW()/1000)</f>
        <v>999999</v>
      </c>
      <c r="P15" s="2" t="str">
        <f t="shared" si="0"/>
        <v/>
      </c>
    </row>
    <row r="16" spans="1:18" ht="36" customHeight="1" x14ac:dyDescent="0.25">
      <c r="A16" s="2" t="s">
        <v>138</v>
      </c>
      <c r="B16" s="2" t="s">
        <v>3</v>
      </c>
      <c r="C16" s="2" t="s">
        <v>139</v>
      </c>
      <c r="D16" s="2" t="s">
        <v>140</v>
      </c>
      <c r="E16" s="2" t="s">
        <v>10</v>
      </c>
      <c r="F16" s="2" t="s">
        <v>141</v>
      </c>
      <c r="G16" s="2" t="s">
        <v>142</v>
      </c>
      <c r="H16" s="2" t="s">
        <v>143</v>
      </c>
      <c r="I16" s="2" t="s">
        <v>144</v>
      </c>
      <c r="J16" s="2" t="s">
        <v>145</v>
      </c>
      <c r="K16" s="2" t="s">
        <v>14</v>
      </c>
      <c r="L16" s="2" t="s">
        <v>146</v>
      </c>
      <c r="M16" s="2" t="s">
        <v>40</v>
      </c>
      <c r="N16" s="2">
        <f>IF(AND(M16="Yes",OR(QUIZ!$B$5="All Subjects",B16=QUIZ!$B$5),OR(QUIZ!$G$5="All Difficulties",E16=QUIZ!$G$5)),1,0)</f>
        <v>0</v>
      </c>
      <c r="O16" s="2">
        <f>IF(N16=0,999999,MOD(IFERROR(VALUE(RIGHT(A16,3)),ROW())*7919+IF(N(QUIZ!$B$6)=0,1,QUIZ!$B$6)*104729+ROW()*IF(N(QUIZ!$B$6)=0,1,QUIZ!$B$6),999983)+ROW()/1000)</f>
        <v>999999</v>
      </c>
      <c r="P16" s="2" t="str">
        <f t="shared" si="0"/>
        <v/>
      </c>
    </row>
    <row r="17" spans="1:16" ht="36" customHeight="1" x14ac:dyDescent="0.25">
      <c r="A17" s="2" t="s">
        <v>147</v>
      </c>
      <c r="B17" s="2" t="s">
        <v>4</v>
      </c>
      <c r="C17" s="2" t="s">
        <v>148</v>
      </c>
      <c r="D17" s="2" t="s">
        <v>149</v>
      </c>
      <c r="E17" s="2" t="s">
        <v>9</v>
      </c>
      <c r="F17" s="2" t="s">
        <v>150</v>
      </c>
      <c r="G17" s="2" t="s">
        <v>151</v>
      </c>
      <c r="H17" s="2" t="s">
        <v>152</v>
      </c>
      <c r="I17" s="2" t="s">
        <v>153</v>
      </c>
      <c r="J17" s="2" t="s">
        <v>154</v>
      </c>
      <c r="K17" s="2" t="s">
        <v>15</v>
      </c>
      <c r="L17" s="2" t="s">
        <v>155</v>
      </c>
      <c r="M17" s="2" t="s">
        <v>40</v>
      </c>
      <c r="N17" s="2">
        <f>IF(AND(M17="Yes",OR(QUIZ!$B$5="All Subjects",B17=QUIZ!$B$5),OR(QUIZ!$G$5="All Difficulties",E17=QUIZ!$G$5)),1,0)</f>
        <v>0</v>
      </c>
      <c r="O17" s="2">
        <f>IF(N17=0,999999,MOD(IFERROR(VALUE(RIGHT(A17,3)),ROW())*7919+IF(N(QUIZ!$B$6)=0,1,QUIZ!$B$6)*104729+ROW()*IF(N(QUIZ!$B$6)=0,1,QUIZ!$B$6),999983)+ROW()/1000)</f>
        <v>999999</v>
      </c>
      <c r="P17" s="2" t="str">
        <f t="shared" si="0"/>
        <v/>
      </c>
    </row>
    <row r="18" spans="1:16" ht="36" customHeight="1" x14ac:dyDescent="0.25">
      <c r="A18" s="2" t="s">
        <v>156</v>
      </c>
      <c r="B18" s="2" t="s">
        <v>4</v>
      </c>
      <c r="C18" s="2" t="s">
        <v>148</v>
      </c>
      <c r="D18" s="2" t="s">
        <v>157</v>
      </c>
      <c r="E18" s="2" t="s">
        <v>10</v>
      </c>
      <c r="F18" s="2" t="s">
        <v>158</v>
      </c>
      <c r="G18" s="2" t="s">
        <v>159</v>
      </c>
      <c r="H18" s="2" t="s">
        <v>160</v>
      </c>
      <c r="I18" s="2" t="s">
        <v>161</v>
      </c>
      <c r="J18" s="2" t="s">
        <v>162</v>
      </c>
      <c r="K18" s="2" t="s">
        <v>16</v>
      </c>
      <c r="L18" s="2" t="s">
        <v>163</v>
      </c>
      <c r="M18" s="2" t="s">
        <v>40</v>
      </c>
      <c r="N18" s="2">
        <f>IF(AND(M18="Yes",OR(QUIZ!$B$5="All Subjects",B18=QUIZ!$B$5),OR(QUIZ!$G$5="All Difficulties",E18=QUIZ!$G$5)),1,0)</f>
        <v>0</v>
      </c>
      <c r="O18" s="2">
        <f>IF(N18=0,999999,MOD(IFERROR(VALUE(RIGHT(A18,3)),ROW())*7919+IF(N(QUIZ!$B$6)=0,1,QUIZ!$B$6)*104729+ROW()*IF(N(QUIZ!$B$6)=0,1,QUIZ!$B$6),999983)+ROW()/1000)</f>
        <v>999999</v>
      </c>
      <c r="P18" s="2" t="str">
        <f t="shared" si="0"/>
        <v/>
      </c>
    </row>
    <row r="19" spans="1:16" ht="36" customHeight="1" x14ac:dyDescent="0.25">
      <c r="A19" s="2" t="s">
        <v>164</v>
      </c>
      <c r="B19" s="2" t="s">
        <v>4</v>
      </c>
      <c r="C19" s="2" t="s">
        <v>165</v>
      </c>
      <c r="D19" s="2" t="s">
        <v>166</v>
      </c>
      <c r="E19" s="2" t="s">
        <v>9</v>
      </c>
      <c r="F19" s="2" t="s">
        <v>167</v>
      </c>
      <c r="G19" s="2" t="s">
        <v>168</v>
      </c>
      <c r="H19" s="2" t="s">
        <v>169</v>
      </c>
      <c r="I19" s="2" t="s">
        <v>170</v>
      </c>
      <c r="J19" s="2" t="s">
        <v>171</v>
      </c>
      <c r="K19" s="2" t="s">
        <v>14</v>
      </c>
      <c r="L19" s="2" t="s">
        <v>172</v>
      </c>
      <c r="M19" s="2" t="s">
        <v>40</v>
      </c>
      <c r="N19" s="2">
        <f>IF(AND(M19="Yes",OR(QUIZ!$B$5="All Subjects",B19=QUIZ!$B$5),OR(QUIZ!$G$5="All Difficulties",E19=QUIZ!$G$5)),1,0)</f>
        <v>0</v>
      </c>
      <c r="O19" s="2">
        <f>IF(N19=0,999999,MOD(IFERROR(VALUE(RIGHT(A19,3)),ROW())*7919+IF(N(QUIZ!$B$6)=0,1,QUIZ!$B$6)*104729+ROW()*IF(N(QUIZ!$B$6)=0,1,QUIZ!$B$6),999983)+ROW()/1000)</f>
        <v>999999</v>
      </c>
      <c r="P19" s="2" t="str">
        <f t="shared" si="0"/>
        <v/>
      </c>
    </row>
    <row r="20" spans="1:16" ht="36" customHeight="1" x14ac:dyDescent="0.25">
      <c r="A20" s="2" t="s">
        <v>173</v>
      </c>
      <c r="B20" s="2" t="s">
        <v>4</v>
      </c>
      <c r="C20" s="2" t="s">
        <v>165</v>
      </c>
      <c r="D20" s="2" t="s">
        <v>174</v>
      </c>
      <c r="E20" s="2" t="s">
        <v>10</v>
      </c>
      <c r="F20" s="2" t="s">
        <v>175</v>
      </c>
      <c r="G20" s="2" t="s">
        <v>176</v>
      </c>
      <c r="H20" s="2" t="s">
        <v>177</v>
      </c>
      <c r="I20" s="2" t="s">
        <v>178</v>
      </c>
      <c r="J20" s="2" t="s">
        <v>179</v>
      </c>
      <c r="K20" s="2" t="s">
        <v>15</v>
      </c>
      <c r="L20" s="2" t="s">
        <v>180</v>
      </c>
      <c r="M20" s="2" t="s">
        <v>40</v>
      </c>
      <c r="N20" s="2">
        <f>IF(AND(M20="Yes",OR(QUIZ!$B$5="All Subjects",B20=QUIZ!$B$5),OR(QUIZ!$G$5="All Difficulties",E20=QUIZ!$G$5)),1,0)</f>
        <v>0</v>
      </c>
      <c r="O20" s="2">
        <f>IF(N20=0,999999,MOD(IFERROR(VALUE(RIGHT(A20,3)),ROW())*7919+IF(N(QUIZ!$B$6)=0,1,QUIZ!$B$6)*104729+ROW()*IF(N(QUIZ!$B$6)=0,1,QUIZ!$B$6),999983)+ROW()/1000)</f>
        <v>999999</v>
      </c>
      <c r="P20" s="2" t="str">
        <f t="shared" si="0"/>
        <v/>
      </c>
    </row>
    <row r="21" spans="1:16" ht="36" customHeight="1" x14ac:dyDescent="0.25">
      <c r="A21" s="2" t="s">
        <v>181</v>
      </c>
      <c r="B21" s="2" t="s">
        <v>4</v>
      </c>
      <c r="C21" s="2" t="s">
        <v>182</v>
      </c>
      <c r="D21" s="2" t="s">
        <v>183</v>
      </c>
      <c r="E21" s="2" t="s">
        <v>9</v>
      </c>
      <c r="F21" s="2" t="s">
        <v>184</v>
      </c>
      <c r="G21" s="2" t="s">
        <v>185</v>
      </c>
      <c r="H21" s="2" t="s">
        <v>186</v>
      </c>
      <c r="I21" s="2" t="s">
        <v>187</v>
      </c>
      <c r="J21" s="2" t="s">
        <v>188</v>
      </c>
      <c r="K21" s="2" t="s">
        <v>16</v>
      </c>
      <c r="L21" s="2" t="s">
        <v>189</v>
      </c>
      <c r="M21" s="2" t="s">
        <v>40</v>
      </c>
      <c r="N21" s="2">
        <f>IF(AND(M21="Yes",OR(QUIZ!$B$5="All Subjects",B21=QUIZ!$B$5),OR(QUIZ!$G$5="All Difficulties",E21=QUIZ!$G$5)),1,0)</f>
        <v>0</v>
      </c>
      <c r="O21" s="2">
        <f>IF(N21=0,999999,MOD(IFERROR(VALUE(RIGHT(A21,3)),ROW())*7919+IF(N(QUIZ!$B$6)=0,1,QUIZ!$B$6)*104729+ROW()*IF(N(QUIZ!$B$6)=0,1,QUIZ!$B$6),999983)+ROW()/1000)</f>
        <v>999999</v>
      </c>
      <c r="P21" s="2" t="str">
        <f t="shared" si="0"/>
        <v/>
      </c>
    </row>
    <row r="22" spans="1:16" ht="36" customHeight="1" x14ac:dyDescent="0.25">
      <c r="A22" s="2" t="s">
        <v>190</v>
      </c>
      <c r="B22" s="2" t="s">
        <v>4</v>
      </c>
      <c r="C22" s="2" t="s">
        <v>182</v>
      </c>
      <c r="D22" s="2" t="s">
        <v>183</v>
      </c>
      <c r="E22" s="2" t="s">
        <v>11</v>
      </c>
      <c r="F22" s="2" t="s">
        <v>191</v>
      </c>
      <c r="G22" s="2" t="s">
        <v>192</v>
      </c>
      <c r="H22" s="2" t="s">
        <v>193</v>
      </c>
      <c r="I22" s="2" t="s">
        <v>194</v>
      </c>
      <c r="J22" s="2" t="s">
        <v>195</v>
      </c>
      <c r="K22" s="2" t="s">
        <v>15</v>
      </c>
      <c r="L22" s="2" t="s">
        <v>196</v>
      </c>
      <c r="M22" s="2" t="s">
        <v>40</v>
      </c>
      <c r="N22" s="2">
        <f>IF(AND(M22="Yes",OR(QUIZ!$B$5="All Subjects",B22=QUIZ!$B$5),OR(QUIZ!$G$5="All Difficulties",E22=QUIZ!$G$5)),1,0)</f>
        <v>0</v>
      </c>
      <c r="O22" s="2">
        <f>IF(N22=0,999999,MOD(IFERROR(VALUE(RIGHT(A22,3)),ROW())*7919+IF(N(QUIZ!$B$6)=0,1,QUIZ!$B$6)*104729+ROW()*IF(N(QUIZ!$B$6)=0,1,QUIZ!$B$6),999983)+ROW()/1000)</f>
        <v>999999</v>
      </c>
      <c r="P22" s="2" t="str">
        <f t="shared" si="0"/>
        <v/>
      </c>
    </row>
    <row r="23" spans="1:16" ht="36" customHeight="1" x14ac:dyDescent="0.25">
      <c r="A23" s="2" t="s">
        <v>197</v>
      </c>
      <c r="B23" s="2" t="s">
        <v>4</v>
      </c>
      <c r="C23" s="2" t="s">
        <v>198</v>
      </c>
      <c r="D23" s="2" t="s">
        <v>199</v>
      </c>
      <c r="E23" s="2" t="s">
        <v>11</v>
      </c>
      <c r="F23" s="2" t="s">
        <v>200</v>
      </c>
      <c r="G23" s="2" t="s">
        <v>201</v>
      </c>
      <c r="H23" s="2" t="s">
        <v>202</v>
      </c>
      <c r="I23" s="2" t="s">
        <v>203</v>
      </c>
      <c r="J23" s="2" t="s">
        <v>204</v>
      </c>
      <c r="K23" s="2" t="s">
        <v>16</v>
      </c>
      <c r="L23" s="2" t="s">
        <v>205</v>
      </c>
      <c r="M23" s="2" t="s">
        <v>40</v>
      </c>
      <c r="N23" s="2">
        <f>IF(AND(M23="Yes",OR(QUIZ!$B$5="All Subjects",B23=QUIZ!$B$5),OR(QUIZ!$G$5="All Difficulties",E23=QUIZ!$G$5)),1,0)</f>
        <v>0</v>
      </c>
      <c r="O23" s="2">
        <f>IF(N23=0,999999,MOD(IFERROR(VALUE(RIGHT(A23,3)),ROW())*7919+IF(N(QUIZ!$B$6)=0,1,QUIZ!$B$6)*104729+ROW()*IF(N(QUIZ!$B$6)=0,1,QUIZ!$B$6),999983)+ROW()/1000)</f>
        <v>999999</v>
      </c>
      <c r="P23" s="2" t="str">
        <f t="shared" si="0"/>
        <v/>
      </c>
    </row>
    <row r="24" spans="1:16" ht="36" customHeight="1" x14ac:dyDescent="0.25">
      <c r="A24" s="2" t="s">
        <v>206</v>
      </c>
      <c r="B24" s="2" t="s">
        <v>5</v>
      </c>
      <c r="C24" s="2" t="s">
        <v>207</v>
      </c>
      <c r="D24" s="2" t="s">
        <v>208</v>
      </c>
      <c r="E24" s="2" t="s">
        <v>9</v>
      </c>
      <c r="F24" s="2" t="s">
        <v>209</v>
      </c>
      <c r="G24" s="2" t="s">
        <v>210</v>
      </c>
      <c r="H24" s="2" t="s">
        <v>211</v>
      </c>
      <c r="I24" s="2" t="s">
        <v>212</v>
      </c>
      <c r="J24" s="2" t="s">
        <v>213</v>
      </c>
      <c r="K24" s="2" t="s">
        <v>16</v>
      </c>
      <c r="L24" s="2" t="s">
        <v>214</v>
      </c>
      <c r="M24" s="2" t="s">
        <v>40</v>
      </c>
      <c r="N24" s="2">
        <f>IF(AND(M24="Yes",OR(QUIZ!$B$5="All Subjects",B24=QUIZ!$B$5),OR(QUIZ!$G$5="All Difficulties",E24=QUIZ!$G$5)),1,0)</f>
        <v>0</v>
      </c>
      <c r="O24" s="2">
        <f>IF(N24=0,999999,MOD(IFERROR(VALUE(RIGHT(A24,3)),ROW())*7919+IF(N(QUIZ!$B$6)=0,1,QUIZ!$B$6)*104729+ROW()*IF(N(QUIZ!$B$6)=0,1,QUIZ!$B$6),999983)+ROW()/1000)</f>
        <v>999999</v>
      </c>
      <c r="P24" s="2" t="str">
        <f t="shared" si="0"/>
        <v/>
      </c>
    </row>
    <row r="25" spans="1:16" ht="36" customHeight="1" x14ac:dyDescent="0.25">
      <c r="A25" s="2" t="s">
        <v>215</v>
      </c>
      <c r="B25" s="2" t="s">
        <v>5</v>
      </c>
      <c r="C25" s="2" t="s">
        <v>207</v>
      </c>
      <c r="D25" s="2" t="s">
        <v>216</v>
      </c>
      <c r="E25" s="2" t="s">
        <v>10</v>
      </c>
      <c r="F25" s="2" t="s">
        <v>217</v>
      </c>
      <c r="G25" s="2" t="s">
        <v>218</v>
      </c>
      <c r="H25" s="2" t="s">
        <v>219</v>
      </c>
      <c r="I25" s="2" t="s">
        <v>220</v>
      </c>
      <c r="J25" s="2" t="s">
        <v>221</v>
      </c>
      <c r="K25" s="2" t="s">
        <v>15</v>
      </c>
      <c r="L25" s="2" t="s">
        <v>222</v>
      </c>
      <c r="M25" s="2" t="s">
        <v>40</v>
      </c>
      <c r="N25" s="2">
        <f>IF(AND(M25="Yes",OR(QUIZ!$B$5="All Subjects",B25=QUIZ!$B$5),OR(QUIZ!$G$5="All Difficulties",E25=QUIZ!$G$5)),1,0)</f>
        <v>0</v>
      </c>
      <c r="O25" s="2">
        <f>IF(N25=0,999999,MOD(IFERROR(VALUE(RIGHT(A25,3)),ROW())*7919+IF(N(QUIZ!$B$6)=0,1,QUIZ!$B$6)*104729+ROW()*IF(N(QUIZ!$B$6)=0,1,QUIZ!$B$6),999983)+ROW()/1000)</f>
        <v>999999</v>
      </c>
      <c r="P25" s="2" t="str">
        <f t="shared" si="0"/>
        <v/>
      </c>
    </row>
    <row r="26" spans="1:16" ht="36" customHeight="1" x14ac:dyDescent="0.25">
      <c r="A26" s="2" t="s">
        <v>223</v>
      </c>
      <c r="B26" s="2" t="s">
        <v>5</v>
      </c>
      <c r="C26" s="2" t="s">
        <v>207</v>
      </c>
      <c r="D26" s="2" t="s">
        <v>216</v>
      </c>
      <c r="E26" s="2" t="s">
        <v>11</v>
      </c>
      <c r="F26" s="2" t="s">
        <v>224</v>
      </c>
      <c r="G26" s="2" t="s">
        <v>225</v>
      </c>
      <c r="H26" s="2" t="s">
        <v>226</v>
      </c>
      <c r="I26" s="2" t="s">
        <v>227</v>
      </c>
      <c r="J26" s="2" t="s">
        <v>228</v>
      </c>
      <c r="K26" s="2" t="s">
        <v>15</v>
      </c>
      <c r="L26" s="2" t="s">
        <v>229</v>
      </c>
      <c r="M26" s="2" t="s">
        <v>40</v>
      </c>
      <c r="N26" s="2">
        <f>IF(AND(M26="Yes",OR(QUIZ!$B$5="All Subjects",B26=QUIZ!$B$5),OR(QUIZ!$G$5="All Difficulties",E26=QUIZ!$G$5)),1,0)</f>
        <v>0</v>
      </c>
      <c r="O26" s="2">
        <f>IF(N26=0,999999,MOD(IFERROR(VALUE(RIGHT(A26,3)),ROW())*7919+IF(N(QUIZ!$B$6)=0,1,QUIZ!$B$6)*104729+ROW()*IF(N(QUIZ!$B$6)=0,1,QUIZ!$B$6),999983)+ROW()/1000)</f>
        <v>999999</v>
      </c>
      <c r="P26" s="2" t="str">
        <f t="shared" si="0"/>
        <v/>
      </c>
    </row>
    <row r="27" spans="1:16" ht="36" customHeight="1" x14ac:dyDescent="0.25">
      <c r="A27" s="2" t="s">
        <v>230</v>
      </c>
      <c r="B27" s="2" t="s">
        <v>5</v>
      </c>
      <c r="C27" s="2" t="s">
        <v>231</v>
      </c>
      <c r="D27" s="2" t="s">
        <v>232</v>
      </c>
      <c r="E27" s="2" t="s">
        <v>9</v>
      </c>
      <c r="F27" s="2" t="s">
        <v>233</v>
      </c>
      <c r="G27" s="2" t="s">
        <v>234</v>
      </c>
      <c r="H27" s="2" t="s">
        <v>235</v>
      </c>
      <c r="I27" s="2" t="s">
        <v>236</v>
      </c>
      <c r="J27" s="2" t="s">
        <v>237</v>
      </c>
      <c r="K27" s="2" t="s">
        <v>14</v>
      </c>
      <c r="L27" s="2" t="s">
        <v>238</v>
      </c>
      <c r="M27" s="2" t="s">
        <v>40</v>
      </c>
      <c r="N27" s="2">
        <f>IF(AND(M27="Yes",OR(QUIZ!$B$5="All Subjects",B27=QUIZ!$B$5),OR(QUIZ!$G$5="All Difficulties",E27=QUIZ!$G$5)),1,0)</f>
        <v>0</v>
      </c>
      <c r="O27" s="2">
        <f>IF(N27=0,999999,MOD(IFERROR(VALUE(RIGHT(A27,3)),ROW())*7919+IF(N(QUIZ!$B$6)=0,1,QUIZ!$B$6)*104729+ROW()*IF(N(QUIZ!$B$6)=0,1,QUIZ!$B$6),999983)+ROW()/1000)</f>
        <v>999999</v>
      </c>
      <c r="P27" s="2" t="str">
        <f t="shared" si="0"/>
        <v/>
      </c>
    </row>
    <row r="28" spans="1:16" ht="36" customHeight="1" x14ac:dyDescent="0.25">
      <c r="A28" s="2" t="s">
        <v>239</v>
      </c>
      <c r="B28" s="2" t="s">
        <v>5</v>
      </c>
      <c r="C28" s="2" t="s">
        <v>240</v>
      </c>
      <c r="D28" s="2" t="s">
        <v>241</v>
      </c>
      <c r="E28" s="2" t="s">
        <v>10</v>
      </c>
      <c r="F28" s="2" t="s">
        <v>242</v>
      </c>
      <c r="G28" s="2" t="s">
        <v>243</v>
      </c>
      <c r="H28" s="2" t="s">
        <v>244</v>
      </c>
      <c r="I28" s="2" t="s">
        <v>245</v>
      </c>
      <c r="J28" s="2" t="s">
        <v>246</v>
      </c>
      <c r="K28" s="2" t="s">
        <v>15</v>
      </c>
      <c r="L28" s="2" t="s">
        <v>247</v>
      </c>
      <c r="M28" s="2" t="s">
        <v>40</v>
      </c>
      <c r="N28" s="2">
        <f>IF(AND(M28="Yes",OR(QUIZ!$B$5="All Subjects",B28=QUIZ!$B$5),OR(QUIZ!$G$5="All Difficulties",E28=QUIZ!$G$5)),1,0)</f>
        <v>0</v>
      </c>
      <c r="O28" s="2">
        <f>IF(N28=0,999999,MOD(IFERROR(VALUE(RIGHT(A28,3)),ROW())*7919+IF(N(QUIZ!$B$6)=0,1,QUIZ!$B$6)*104729+ROW()*IF(N(QUIZ!$B$6)=0,1,QUIZ!$B$6),999983)+ROW()/1000)</f>
        <v>999999</v>
      </c>
      <c r="P28" s="2" t="str">
        <f t="shared" si="0"/>
        <v/>
      </c>
    </row>
    <row r="29" spans="1:16" ht="36" customHeight="1" x14ac:dyDescent="0.25">
      <c r="A29" s="2" t="s">
        <v>248</v>
      </c>
      <c r="B29" s="2" t="s">
        <v>5</v>
      </c>
      <c r="C29" s="2" t="s">
        <v>249</v>
      </c>
      <c r="D29" s="2" t="s">
        <v>216</v>
      </c>
      <c r="E29" s="2" t="s">
        <v>11</v>
      </c>
      <c r="F29" s="2" t="s">
        <v>250</v>
      </c>
      <c r="G29" s="2" t="s">
        <v>251</v>
      </c>
      <c r="H29" s="2" t="s">
        <v>252</v>
      </c>
      <c r="I29" s="2" t="s">
        <v>253</v>
      </c>
      <c r="J29" s="2" t="s">
        <v>254</v>
      </c>
      <c r="K29" s="2" t="s">
        <v>15</v>
      </c>
      <c r="L29" s="2" t="s">
        <v>255</v>
      </c>
      <c r="M29" s="2" t="s">
        <v>40</v>
      </c>
      <c r="N29" s="2">
        <f>IF(AND(M29="Yes",OR(QUIZ!$B$5="All Subjects",B29=QUIZ!$B$5),OR(QUIZ!$G$5="All Difficulties",E29=QUIZ!$G$5)),1,0)</f>
        <v>0</v>
      </c>
      <c r="O29" s="2">
        <f>IF(N29=0,999999,MOD(IFERROR(VALUE(RIGHT(A29,3)),ROW())*7919+IF(N(QUIZ!$B$6)=0,1,QUIZ!$B$6)*104729+ROW()*IF(N(QUIZ!$B$6)=0,1,QUIZ!$B$6),999983)+ROW()/1000)</f>
        <v>999999</v>
      </c>
      <c r="P29" s="2" t="str">
        <f t="shared" si="0"/>
        <v/>
      </c>
    </row>
    <row r="30" spans="1:16" ht="36" customHeight="1" x14ac:dyDescent="0.25">
      <c r="A30" s="2" t="s">
        <v>256</v>
      </c>
      <c r="B30" s="2" t="s">
        <v>5</v>
      </c>
      <c r="C30" s="2" t="s">
        <v>207</v>
      </c>
      <c r="D30" s="2" t="s">
        <v>257</v>
      </c>
      <c r="E30" s="2" t="s">
        <v>10</v>
      </c>
      <c r="F30" s="2" t="s">
        <v>258</v>
      </c>
      <c r="G30" s="2" t="s">
        <v>259</v>
      </c>
      <c r="H30" s="2" t="s">
        <v>260</v>
      </c>
      <c r="I30" s="2" t="s">
        <v>261</v>
      </c>
      <c r="J30" s="2" t="s">
        <v>262</v>
      </c>
      <c r="K30" s="2" t="s">
        <v>16</v>
      </c>
      <c r="L30" s="2" t="s">
        <v>263</v>
      </c>
      <c r="M30" s="2" t="s">
        <v>40</v>
      </c>
      <c r="N30" s="2">
        <f>IF(AND(M30="Yes",OR(QUIZ!$B$5="All Subjects",B30=QUIZ!$B$5),OR(QUIZ!$G$5="All Difficulties",E30=QUIZ!$G$5)),1,0)</f>
        <v>0</v>
      </c>
      <c r="O30" s="2">
        <f>IF(N30=0,999999,MOD(IFERROR(VALUE(RIGHT(A30,3)),ROW())*7919+IF(N(QUIZ!$B$6)=0,1,QUIZ!$B$6)*104729+ROW()*IF(N(QUIZ!$B$6)=0,1,QUIZ!$B$6),999983)+ROW()/1000)</f>
        <v>999999</v>
      </c>
      <c r="P30" s="2" t="str">
        <f t="shared" si="0"/>
        <v/>
      </c>
    </row>
    <row r="31" spans="1:16" ht="36" customHeight="1" x14ac:dyDescent="0.25">
      <c r="A31" s="2" t="s">
        <v>264</v>
      </c>
      <c r="B31" s="2" t="s">
        <v>6</v>
      </c>
      <c r="C31" s="2" t="s">
        <v>265</v>
      </c>
      <c r="D31" s="2" t="s">
        <v>266</v>
      </c>
      <c r="E31" s="2" t="s">
        <v>9</v>
      </c>
      <c r="F31" s="2" t="s">
        <v>267</v>
      </c>
      <c r="G31" s="2" t="s">
        <v>268</v>
      </c>
      <c r="H31" s="2" t="s">
        <v>269</v>
      </c>
      <c r="I31" s="2" t="s">
        <v>270</v>
      </c>
      <c r="J31" s="2" t="s">
        <v>271</v>
      </c>
      <c r="K31" s="2" t="s">
        <v>15</v>
      </c>
      <c r="L31" s="2" t="s">
        <v>272</v>
      </c>
      <c r="M31" s="2" t="s">
        <v>40</v>
      </c>
      <c r="N31" s="2">
        <f>IF(AND(M31="Yes",OR(QUIZ!$B$5="All Subjects",B31=QUIZ!$B$5),OR(QUIZ!$G$5="All Difficulties",E31=QUIZ!$G$5)),1,0)</f>
        <v>0</v>
      </c>
      <c r="O31" s="2">
        <f>IF(N31=0,999999,MOD(IFERROR(VALUE(RIGHT(A31,3)),ROW())*7919+IF(N(QUIZ!$B$6)=0,1,QUIZ!$B$6)*104729+ROW()*IF(N(QUIZ!$B$6)=0,1,QUIZ!$B$6),999983)+ROW()/1000)</f>
        <v>999999</v>
      </c>
      <c r="P31" s="2" t="str">
        <f t="shared" si="0"/>
        <v/>
      </c>
    </row>
    <row r="32" spans="1:16" ht="36" customHeight="1" x14ac:dyDescent="0.25">
      <c r="A32" s="2" t="s">
        <v>273</v>
      </c>
      <c r="B32" s="2" t="s">
        <v>6</v>
      </c>
      <c r="C32" s="2" t="s">
        <v>274</v>
      </c>
      <c r="D32" s="2" t="s">
        <v>275</v>
      </c>
      <c r="E32" s="2" t="s">
        <v>10</v>
      </c>
      <c r="F32" s="2" t="s">
        <v>276</v>
      </c>
      <c r="G32" s="2" t="s">
        <v>277</v>
      </c>
      <c r="H32" s="2" t="s">
        <v>275</v>
      </c>
      <c r="I32" s="2" t="s">
        <v>278</v>
      </c>
      <c r="J32" s="2" t="s">
        <v>279</v>
      </c>
      <c r="K32" s="2" t="s">
        <v>15</v>
      </c>
      <c r="L32" s="2" t="s">
        <v>280</v>
      </c>
      <c r="M32" s="2" t="s">
        <v>40</v>
      </c>
      <c r="N32" s="2">
        <f>IF(AND(M32="Yes",OR(QUIZ!$B$5="All Subjects",B32=QUIZ!$B$5),OR(QUIZ!$G$5="All Difficulties",E32=QUIZ!$G$5)),1,0)</f>
        <v>0</v>
      </c>
      <c r="O32" s="2">
        <f>IF(N32=0,999999,MOD(IFERROR(VALUE(RIGHT(A32,3)),ROW())*7919+IF(N(QUIZ!$B$6)=0,1,QUIZ!$B$6)*104729+ROW()*IF(N(QUIZ!$B$6)=0,1,QUIZ!$B$6),999983)+ROW()/1000)</f>
        <v>999999</v>
      </c>
      <c r="P32" s="2" t="str">
        <f t="shared" si="0"/>
        <v/>
      </c>
    </row>
    <row r="33" spans="1:16" ht="36" customHeight="1" x14ac:dyDescent="0.25">
      <c r="A33" s="2" t="s">
        <v>281</v>
      </c>
      <c r="B33" s="2" t="s">
        <v>6</v>
      </c>
      <c r="C33" s="2" t="s">
        <v>282</v>
      </c>
      <c r="D33" s="2" t="s">
        <v>283</v>
      </c>
      <c r="E33" s="2" t="s">
        <v>9</v>
      </c>
      <c r="F33" s="2" t="s">
        <v>284</v>
      </c>
      <c r="G33" s="2" t="s">
        <v>285</v>
      </c>
      <c r="H33" s="2" t="s">
        <v>286</v>
      </c>
      <c r="I33" s="2" t="s">
        <v>287</v>
      </c>
      <c r="J33" s="2" t="s">
        <v>288</v>
      </c>
      <c r="K33" s="2" t="s">
        <v>14</v>
      </c>
      <c r="L33" s="2" t="s">
        <v>289</v>
      </c>
      <c r="M33" s="2" t="s">
        <v>40</v>
      </c>
      <c r="N33" s="2">
        <f>IF(AND(M33="Yes",OR(QUIZ!$B$5="All Subjects",B33=QUIZ!$B$5),OR(QUIZ!$G$5="All Difficulties",E33=QUIZ!$G$5)),1,0)</f>
        <v>0</v>
      </c>
      <c r="O33" s="2">
        <f>IF(N33=0,999999,MOD(IFERROR(VALUE(RIGHT(A33,3)),ROW())*7919+IF(N(QUIZ!$B$6)=0,1,QUIZ!$B$6)*104729+ROW()*IF(N(QUIZ!$B$6)=0,1,QUIZ!$B$6),999983)+ROW()/1000)</f>
        <v>999999</v>
      </c>
      <c r="P33" s="2" t="str">
        <f t="shared" si="0"/>
        <v/>
      </c>
    </row>
    <row r="34" spans="1:16" ht="36" customHeight="1" x14ac:dyDescent="0.25">
      <c r="A34" s="2" t="s">
        <v>290</v>
      </c>
      <c r="B34" s="2" t="s">
        <v>6</v>
      </c>
      <c r="C34" s="2" t="s">
        <v>291</v>
      </c>
      <c r="D34" s="2" t="s">
        <v>292</v>
      </c>
      <c r="E34" s="2" t="s">
        <v>11</v>
      </c>
      <c r="F34" s="2" t="s">
        <v>293</v>
      </c>
      <c r="G34" s="2" t="s">
        <v>294</v>
      </c>
      <c r="H34" s="2" t="s">
        <v>295</v>
      </c>
      <c r="I34" s="2" t="s">
        <v>296</v>
      </c>
      <c r="J34" s="2" t="s">
        <v>297</v>
      </c>
      <c r="K34" s="2" t="s">
        <v>15</v>
      </c>
      <c r="L34" s="2" t="s">
        <v>298</v>
      </c>
      <c r="M34" s="2" t="s">
        <v>40</v>
      </c>
      <c r="N34" s="2">
        <f>IF(AND(M34="Yes",OR(QUIZ!$B$5="All Subjects",B34=QUIZ!$B$5),OR(QUIZ!$G$5="All Difficulties",E34=QUIZ!$G$5)),1,0)</f>
        <v>0</v>
      </c>
      <c r="O34" s="2">
        <f>IF(N34=0,999999,MOD(IFERROR(VALUE(RIGHT(A34,3)),ROW())*7919+IF(N(QUIZ!$B$6)=0,1,QUIZ!$B$6)*104729+ROW()*IF(N(QUIZ!$B$6)=0,1,QUIZ!$B$6),999983)+ROW()/1000)</f>
        <v>999999</v>
      </c>
      <c r="P34" s="2" t="str">
        <f t="shared" ref="P34:P50" si="1">IF(N34=0,"",COUNTIFS($N$2:$N$510,1,$O$2:$O$510,"&lt;"&amp;O34)+1)</f>
        <v/>
      </c>
    </row>
    <row r="35" spans="1:16" ht="36" customHeight="1" x14ac:dyDescent="0.25">
      <c r="A35" s="2" t="s">
        <v>299</v>
      </c>
      <c r="B35" s="2" t="s">
        <v>6</v>
      </c>
      <c r="C35" s="2" t="s">
        <v>274</v>
      </c>
      <c r="D35" s="2" t="s">
        <v>300</v>
      </c>
      <c r="E35" s="2" t="s">
        <v>9</v>
      </c>
      <c r="F35" s="2" t="s">
        <v>301</v>
      </c>
      <c r="G35" s="2" t="s">
        <v>302</v>
      </c>
      <c r="H35" s="2" t="s">
        <v>303</v>
      </c>
      <c r="I35" s="2" t="s">
        <v>304</v>
      </c>
      <c r="J35" s="2" t="s">
        <v>305</v>
      </c>
      <c r="K35" s="2" t="s">
        <v>15</v>
      </c>
      <c r="L35" s="2" t="s">
        <v>306</v>
      </c>
      <c r="M35" s="2" t="s">
        <v>40</v>
      </c>
      <c r="N35" s="2">
        <f>IF(AND(M35="Yes",OR(QUIZ!$B$5="All Subjects",B35=QUIZ!$B$5),OR(QUIZ!$G$5="All Difficulties",E35=QUIZ!$G$5)),1,0)</f>
        <v>0</v>
      </c>
      <c r="O35" s="2">
        <f>IF(N35=0,999999,MOD(IFERROR(VALUE(RIGHT(A35,3)),ROW())*7919+IF(N(QUIZ!$B$6)=0,1,QUIZ!$B$6)*104729+ROW()*IF(N(QUIZ!$B$6)=0,1,QUIZ!$B$6),999983)+ROW()/1000)</f>
        <v>999999</v>
      </c>
      <c r="P35" s="2" t="str">
        <f t="shared" si="1"/>
        <v/>
      </c>
    </row>
    <row r="36" spans="1:16" ht="36" customHeight="1" x14ac:dyDescent="0.25">
      <c r="A36" s="2" t="s">
        <v>307</v>
      </c>
      <c r="B36" s="2" t="s">
        <v>6</v>
      </c>
      <c r="C36" s="2" t="s">
        <v>308</v>
      </c>
      <c r="D36" s="2" t="s">
        <v>309</v>
      </c>
      <c r="E36" s="2" t="s">
        <v>10</v>
      </c>
      <c r="F36" s="2" t="s">
        <v>310</v>
      </c>
      <c r="G36" s="2" t="s">
        <v>311</v>
      </c>
      <c r="H36" s="2" t="s">
        <v>312</v>
      </c>
      <c r="I36" s="2" t="s">
        <v>313</v>
      </c>
      <c r="J36" s="2" t="s">
        <v>314</v>
      </c>
      <c r="K36" s="2" t="s">
        <v>15</v>
      </c>
      <c r="L36" s="2" t="s">
        <v>315</v>
      </c>
      <c r="M36" s="2" t="s">
        <v>40</v>
      </c>
      <c r="N36" s="2">
        <f>IF(AND(M36="Yes",OR(QUIZ!$B$5="All Subjects",B36=QUIZ!$B$5),OR(QUIZ!$G$5="All Difficulties",E36=QUIZ!$G$5)),1,0)</f>
        <v>0</v>
      </c>
      <c r="O36" s="2">
        <f>IF(N36=0,999999,MOD(IFERROR(VALUE(RIGHT(A36,3)),ROW())*7919+IF(N(QUIZ!$B$6)=0,1,QUIZ!$B$6)*104729+ROW()*IF(N(QUIZ!$B$6)=0,1,QUIZ!$B$6),999983)+ROW()/1000)</f>
        <v>999999</v>
      </c>
      <c r="P36" s="2" t="str">
        <f t="shared" si="1"/>
        <v/>
      </c>
    </row>
    <row r="37" spans="1:16" ht="36" customHeight="1" x14ac:dyDescent="0.25">
      <c r="A37" s="2" t="s">
        <v>316</v>
      </c>
      <c r="B37" s="2" t="s">
        <v>6</v>
      </c>
      <c r="C37" s="2" t="s">
        <v>317</v>
      </c>
      <c r="D37" s="2" t="s">
        <v>318</v>
      </c>
      <c r="E37" s="2" t="s">
        <v>11</v>
      </c>
      <c r="F37" s="2" t="s">
        <v>319</v>
      </c>
      <c r="G37" s="2" t="s">
        <v>320</v>
      </c>
      <c r="H37" s="2" t="s">
        <v>321</v>
      </c>
      <c r="I37" s="2" t="s">
        <v>322</v>
      </c>
      <c r="J37" s="2" t="s">
        <v>323</v>
      </c>
      <c r="K37" s="2" t="s">
        <v>14</v>
      </c>
      <c r="L37" s="2" t="s">
        <v>324</v>
      </c>
      <c r="M37" s="2" t="s">
        <v>40</v>
      </c>
      <c r="N37" s="2">
        <f>IF(AND(M37="Yes",OR(QUIZ!$B$5="All Subjects",B37=QUIZ!$B$5),OR(QUIZ!$G$5="All Difficulties",E37=QUIZ!$G$5)),1,0)</f>
        <v>0</v>
      </c>
      <c r="O37" s="2">
        <f>IF(N37=0,999999,MOD(IFERROR(VALUE(RIGHT(A37,3)),ROW())*7919+IF(N(QUIZ!$B$6)=0,1,QUIZ!$B$6)*104729+ROW()*IF(N(QUIZ!$B$6)=0,1,QUIZ!$B$6),999983)+ROW()/1000)</f>
        <v>999999</v>
      </c>
      <c r="P37" s="2" t="str">
        <f t="shared" si="1"/>
        <v/>
      </c>
    </row>
    <row r="38" spans="1:16" ht="36" customHeight="1" x14ac:dyDescent="0.25">
      <c r="A38" s="2" t="s">
        <v>325</v>
      </c>
      <c r="B38" s="2" t="s">
        <v>2</v>
      </c>
      <c r="C38" s="2" t="s">
        <v>62</v>
      </c>
      <c r="D38" s="2" t="s">
        <v>326</v>
      </c>
      <c r="E38" s="2" t="s">
        <v>9</v>
      </c>
      <c r="F38" s="2" t="s">
        <v>327</v>
      </c>
      <c r="G38" s="4" t="s">
        <v>347</v>
      </c>
      <c r="H38" s="4" t="s">
        <v>348</v>
      </c>
      <c r="I38" s="4" t="s">
        <v>349</v>
      </c>
      <c r="J38" s="4" t="s">
        <v>350</v>
      </c>
      <c r="K38" s="2" t="s">
        <v>15</v>
      </c>
      <c r="L38" s="2" t="s">
        <v>328</v>
      </c>
      <c r="M38" s="2" t="s">
        <v>329</v>
      </c>
      <c r="N38" s="2">
        <f>IF(AND(M38="Yes",OR(QUIZ!$B$5="All Subjects",B38=QUIZ!$B$5),OR(QUIZ!$G$5="All Difficulties",E38=QUIZ!$G$5)),1,0)</f>
        <v>0</v>
      </c>
      <c r="O38" s="2">
        <f>IF(N38=0,999999,MOD(IFERROR(VALUE(RIGHT(A38,3)),ROW())*7919+IF(N(QUIZ!$B$6)=0,1,QUIZ!$B$6)*104729+ROW()*IF(N(QUIZ!$B$6)=0,1,QUIZ!$B$6),999983)+ROW()/1000)</f>
        <v>999999</v>
      </c>
      <c r="P38" s="2" t="str">
        <f t="shared" si="1"/>
        <v/>
      </c>
    </row>
    <row r="39" spans="1:16" ht="36" customHeight="1" x14ac:dyDescent="0.25">
      <c r="A39" s="2" t="s">
        <v>330</v>
      </c>
      <c r="B39" s="2" t="s">
        <v>5</v>
      </c>
      <c r="C39" s="2" t="s">
        <v>207</v>
      </c>
      <c r="D39" s="2" t="s">
        <v>208</v>
      </c>
      <c r="E39" s="2" t="s">
        <v>9</v>
      </c>
      <c r="F39" s="2" t="s">
        <v>331</v>
      </c>
      <c r="G39" s="2" t="s">
        <v>332</v>
      </c>
      <c r="H39" s="2" t="s">
        <v>333</v>
      </c>
      <c r="I39" s="2" t="s">
        <v>334</v>
      </c>
      <c r="J39" s="2" t="s">
        <v>335</v>
      </c>
      <c r="K39" s="2" t="s">
        <v>15</v>
      </c>
      <c r="L39" s="2" t="s">
        <v>336</v>
      </c>
      <c r="M39" s="2" t="s">
        <v>329</v>
      </c>
      <c r="N39" s="2">
        <f>IF(AND(M39="Yes",OR(QUIZ!$B$5="All Subjects",B39=QUIZ!$B$5),OR(QUIZ!$G$5="All Difficulties",E39=QUIZ!$G$5)),1,0)</f>
        <v>0</v>
      </c>
      <c r="O39" s="2">
        <f>IF(N39=0,999999,MOD(IFERROR(VALUE(RIGHT(A39,3)),ROW())*7919+IF(N(QUIZ!$B$6)=0,1,QUIZ!$B$6)*104729+ROW()*IF(N(QUIZ!$B$6)=0,1,QUIZ!$B$6),999983)+ROW()/1000)</f>
        <v>999999</v>
      </c>
      <c r="P39" s="2" t="str">
        <f t="shared" si="1"/>
        <v/>
      </c>
    </row>
    <row r="40" spans="1:16" ht="36" customHeight="1" x14ac:dyDescent="0.25">
      <c r="A40" s="2" t="s">
        <v>428</v>
      </c>
      <c r="B40" s="2" t="s">
        <v>2</v>
      </c>
      <c r="C40" s="2" t="s">
        <v>62</v>
      </c>
      <c r="D40" s="2" t="s">
        <v>326</v>
      </c>
      <c r="E40" s="2" t="s">
        <v>9</v>
      </c>
      <c r="F40" s="2" t="s">
        <v>429</v>
      </c>
      <c r="G40" s="4" t="s">
        <v>346</v>
      </c>
      <c r="H40" s="4" t="s">
        <v>430</v>
      </c>
      <c r="I40" s="4" t="s">
        <v>431</v>
      </c>
      <c r="J40" s="4" t="s">
        <v>432</v>
      </c>
      <c r="K40" s="2" t="s">
        <v>15</v>
      </c>
      <c r="L40" s="2" t="s">
        <v>433</v>
      </c>
      <c r="M40" s="2" t="s">
        <v>40</v>
      </c>
      <c r="N40" s="2">
        <f>IF(AND(M40="Yes",OR(QUIZ!$B$5="All Subjects",B40=QUIZ!$B$5),OR(QUIZ!$G$5="All Difficulties",E40=QUIZ!$G$5)),1,0)</f>
        <v>0</v>
      </c>
      <c r="O40" s="2">
        <f>IF(N40=0,999999,MOD(IFERROR(VALUE(RIGHT(A40,3)),ROW())*7919+IF(N(QUIZ!$B$6)=0,1,QUIZ!$B$6)*104729+ROW()*IF(N(QUIZ!$B$6)=0,1,QUIZ!$B$6),999983)+ROW()/1000)</f>
        <v>999999</v>
      </c>
      <c r="P40" s="2" t="str">
        <f t="shared" si="1"/>
        <v/>
      </c>
    </row>
    <row r="41" spans="1:16" ht="36" customHeight="1" x14ac:dyDescent="0.25">
      <c r="A41" s="2" t="s">
        <v>434</v>
      </c>
      <c r="B41" s="2" t="s">
        <v>2</v>
      </c>
      <c r="C41" s="2" t="s">
        <v>79</v>
      </c>
      <c r="D41" s="2" t="s">
        <v>80</v>
      </c>
      <c r="E41" s="2" t="s">
        <v>9</v>
      </c>
      <c r="F41" s="2" t="s">
        <v>435</v>
      </c>
      <c r="G41" s="4" t="s">
        <v>436</v>
      </c>
      <c r="H41" s="4" t="s">
        <v>343</v>
      </c>
      <c r="I41" s="4" t="s">
        <v>437</v>
      </c>
      <c r="J41" s="4" t="s">
        <v>438</v>
      </c>
      <c r="K41" s="2" t="s">
        <v>15</v>
      </c>
      <c r="L41" s="2" t="s">
        <v>439</v>
      </c>
      <c r="M41" s="2" t="s">
        <v>40</v>
      </c>
      <c r="N41" s="2">
        <f>IF(AND(M41="Yes",OR(QUIZ!$B$5="All Subjects",B41=QUIZ!$B$5),OR(QUIZ!$G$5="All Difficulties",E41=QUIZ!$G$5)),1,0)</f>
        <v>0</v>
      </c>
      <c r="O41" s="2">
        <f>IF(N41=0,999999,MOD(IFERROR(VALUE(RIGHT(A41,3)),ROW())*7919+IF(N(QUIZ!$B$6)=0,1,QUIZ!$B$6)*104729+ROW()*IF(N(QUIZ!$B$6)=0,1,QUIZ!$B$6),999983)+ROW()/1000)</f>
        <v>999999</v>
      </c>
      <c r="P41" s="2" t="str">
        <f t="shared" si="1"/>
        <v/>
      </c>
    </row>
    <row r="42" spans="1:16" ht="36" customHeight="1" x14ac:dyDescent="0.25">
      <c r="A42" s="2" t="s">
        <v>440</v>
      </c>
      <c r="B42" s="2" t="s">
        <v>3</v>
      </c>
      <c r="C42" s="2" t="s">
        <v>88</v>
      </c>
      <c r="D42" s="2" t="s">
        <v>97</v>
      </c>
      <c r="E42" s="2" t="s">
        <v>10</v>
      </c>
      <c r="F42" s="2" t="s">
        <v>441</v>
      </c>
      <c r="G42" s="4" t="s">
        <v>442</v>
      </c>
      <c r="H42" s="4" t="s">
        <v>443</v>
      </c>
      <c r="I42" s="4" t="s">
        <v>444</v>
      </c>
      <c r="J42" s="4" t="s">
        <v>445</v>
      </c>
      <c r="K42" s="2" t="s">
        <v>14</v>
      </c>
      <c r="L42" s="2" t="s">
        <v>446</v>
      </c>
      <c r="M42" s="2" t="s">
        <v>40</v>
      </c>
      <c r="N42" s="2">
        <f>IF(AND(M42="Yes",OR(QUIZ!$B$5="All Subjects",B42=QUIZ!$B$5),OR(QUIZ!$G$5="All Difficulties",E42=QUIZ!$G$5)),1,0)</f>
        <v>0</v>
      </c>
      <c r="O42" s="2">
        <f>IF(N42=0,999999,MOD(IFERROR(VALUE(RIGHT(A42,3)),ROW())*7919+IF(N(QUIZ!$B$6)=0,1,QUIZ!$B$6)*104729+ROW()*IF(N(QUIZ!$B$6)=0,1,QUIZ!$B$6),999983)+ROW()/1000)</f>
        <v>999999</v>
      </c>
      <c r="P42" s="2" t="str">
        <f t="shared" si="1"/>
        <v/>
      </c>
    </row>
    <row r="43" spans="1:16" ht="36" customHeight="1" x14ac:dyDescent="0.25">
      <c r="A43" s="2" t="s">
        <v>447</v>
      </c>
      <c r="B43" s="2" t="s">
        <v>3</v>
      </c>
      <c r="C43" s="2" t="s">
        <v>105</v>
      </c>
      <c r="D43" s="2" t="s">
        <v>114</v>
      </c>
      <c r="E43" s="2" t="s">
        <v>10</v>
      </c>
      <c r="F43" s="2" t="s">
        <v>448</v>
      </c>
      <c r="G43" s="4" t="s">
        <v>449</v>
      </c>
      <c r="H43" s="4" t="s">
        <v>450</v>
      </c>
      <c r="I43" s="4" t="s">
        <v>451</v>
      </c>
      <c r="J43" s="4" t="s">
        <v>452</v>
      </c>
      <c r="K43" s="2" t="s">
        <v>14</v>
      </c>
      <c r="L43" s="2" t="s">
        <v>453</v>
      </c>
      <c r="M43" s="2" t="s">
        <v>40</v>
      </c>
      <c r="N43" s="2">
        <f>IF(AND(M43="Yes",OR(QUIZ!$B$5="All Subjects",B43=QUIZ!$B$5),OR(QUIZ!$G$5="All Difficulties",E43=QUIZ!$G$5)),1,0)</f>
        <v>0</v>
      </c>
      <c r="O43" s="2">
        <f>IF(N43=0,999999,MOD(IFERROR(VALUE(RIGHT(A43,3)),ROW())*7919+IF(N(QUIZ!$B$6)=0,1,QUIZ!$B$6)*104729+ROW()*IF(N(QUIZ!$B$6)=0,1,QUIZ!$B$6),999983)+ROW()/1000)</f>
        <v>999999</v>
      </c>
      <c r="P43" s="2" t="str">
        <f t="shared" si="1"/>
        <v/>
      </c>
    </row>
    <row r="44" spans="1:16" ht="36" customHeight="1" x14ac:dyDescent="0.25">
      <c r="A44" s="2" t="s">
        <v>454</v>
      </c>
      <c r="B44" s="2" t="s">
        <v>3</v>
      </c>
      <c r="C44" s="2" t="s">
        <v>122</v>
      </c>
      <c r="D44" s="2" t="s">
        <v>123</v>
      </c>
      <c r="E44" s="2" t="s">
        <v>10</v>
      </c>
      <c r="F44" s="2" t="s">
        <v>455</v>
      </c>
      <c r="G44" s="4" t="s">
        <v>456</v>
      </c>
      <c r="H44" s="4" t="s">
        <v>457</v>
      </c>
      <c r="I44" s="4" t="s">
        <v>458</v>
      </c>
      <c r="J44" s="4" t="s">
        <v>459</v>
      </c>
      <c r="K44" s="2" t="s">
        <v>14</v>
      </c>
      <c r="L44" s="2" t="s">
        <v>460</v>
      </c>
      <c r="M44" s="2" t="s">
        <v>40</v>
      </c>
      <c r="N44" s="2">
        <f>IF(AND(M44="Yes",OR(QUIZ!$B$5="All Subjects",B44=QUIZ!$B$5),OR(QUIZ!$G$5="All Difficulties",E44=QUIZ!$G$5)),1,0)</f>
        <v>0</v>
      </c>
      <c r="O44" s="2">
        <f>IF(N44=0,999999,MOD(IFERROR(VALUE(RIGHT(A44,3)),ROW())*7919+IF(N(QUIZ!$B$6)=0,1,QUIZ!$B$6)*104729+ROW()*IF(N(QUIZ!$B$6)=0,1,QUIZ!$B$6),999983)+ROW()/1000)</f>
        <v>999999</v>
      </c>
      <c r="P44" s="2" t="str">
        <f t="shared" si="1"/>
        <v/>
      </c>
    </row>
    <row r="45" spans="1:16" ht="36" customHeight="1" x14ac:dyDescent="0.25">
      <c r="A45" s="2" t="s">
        <v>461</v>
      </c>
      <c r="B45" s="2" t="s">
        <v>3</v>
      </c>
      <c r="C45" s="2" t="s">
        <v>122</v>
      </c>
      <c r="D45" s="2" t="s">
        <v>131</v>
      </c>
      <c r="E45" s="2" t="s">
        <v>10</v>
      </c>
      <c r="F45" s="2" t="s">
        <v>462</v>
      </c>
      <c r="G45" s="4" t="s">
        <v>128</v>
      </c>
      <c r="H45" s="4" t="s">
        <v>463</v>
      </c>
      <c r="I45" s="4" t="s">
        <v>464</v>
      </c>
      <c r="J45" s="4" t="s">
        <v>135</v>
      </c>
      <c r="K45" s="2" t="s">
        <v>14</v>
      </c>
      <c r="L45" s="2" t="s">
        <v>465</v>
      </c>
      <c r="M45" s="2" t="s">
        <v>40</v>
      </c>
      <c r="N45" s="2">
        <f>IF(AND(M45="Yes",OR(QUIZ!$B$5="All Subjects",B45=QUIZ!$B$5),OR(QUIZ!$G$5="All Difficulties",E45=QUIZ!$G$5)),1,0)</f>
        <v>0</v>
      </c>
      <c r="O45" s="2">
        <f>IF(N45=0,999999,MOD(IFERROR(VALUE(RIGHT(A45,3)),ROW())*7919+IF(N(QUIZ!$B$6)=0,1,QUIZ!$B$6)*104729+ROW()*IF(N(QUIZ!$B$6)=0,1,QUIZ!$B$6),999983)+ROW()/1000)</f>
        <v>999999</v>
      </c>
      <c r="P45" s="2" t="str">
        <f t="shared" si="1"/>
        <v/>
      </c>
    </row>
    <row r="46" spans="1:16" ht="36" customHeight="1" x14ac:dyDescent="0.25">
      <c r="A46" s="2" t="s">
        <v>466</v>
      </c>
      <c r="B46" s="2" t="s">
        <v>3</v>
      </c>
      <c r="C46" s="2" t="s">
        <v>139</v>
      </c>
      <c r="D46" s="2" t="s">
        <v>467</v>
      </c>
      <c r="E46" s="2" t="s">
        <v>10</v>
      </c>
      <c r="F46" s="2" t="s">
        <v>468</v>
      </c>
      <c r="G46" s="4" t="s">
        <v>469</v>
      </c>
      <c r="H46" s="4" t="s">
        <v>470</v>
      </c>
      <c r="I46" s="4" t="s">
        <v>94</v>
      </c>
      <c r="J46" s="4" t="s">
        <v>471</v>
      </c>
      <c r="K46" s="2" t="s">
        <v>14</v>
      </c>
      <c r="L46" s="2" t="s">
        <v>472</v>
      </c>
      <c r="M46" s="2" t="s">
        <v>40</v>
      </c>
      <c r="N46" s="2">
        <f>IF(AND(M46="Yes",OR(QUIZ!$B$5="All Subjects",B46=QUIZ!$B$5),OR(QUIZ!$G$5="All Difficulties",E46=QUIZ!$G$5)),1,0)</f>
        <v>0</v>
      </c>
      <c r="O46" s="2">
        <f>IF(N46=0,999999,MOD(IFERROR(VALUE(RIGHT(A46,3)),ROW())*7919+IF(N(QUIZ!$B$6)=0,1,QUIZ!$B$6)*104729+ROW()*IF(N(QUIZ!$B$6)=0,1,QUIZ!$B$6),999983)+ROW()/1000)</f>
        <v>999999</v>
      </c>
      <c r="P46" s="2" t="str">
        <f t="shared" si="1"/>
        <v/>
      </c>
    </row>
    <row r="47" spans="1:16" ht="36" customHeight="1" x14ac:dyDescent="0.25">
      <c r="A47" s="2" t="s">
        <v>473</v>
      </c>
      <c r="B47" s="2" t="s">
        <v>3</v>
      </c>
      <c r="C47" s="2" t="s">
        <v>88</v>
      </c>
      <c r="D47" s="2" t="s">
        <v>474</v>
      </c>
      <c r="E47" s="2" t="s">
        <v>10</v>
      </c>
      <c r="F47" s="2" t="s">
        <v>475</v>
      </c>
      <c r="G47" s="4" t="s">
        <v>476</v>
      </c>
      <c r="H47" s="4" t="s">
        <v>477</v>
      </c>
      <c r="I47" s="4" t="s">
        <v>478</v>
      </c>
      <c r="J47" s="4" t="s">
        <v>144</v>
      </c>
      <c r="K47" s="2" t="s">
        <v>14</v>
      </c>
      <c r="L47" s="2" t="s">
        <v>479</v>
      </c>
      <c r="M47" s="2" t="s">
        <v>40</v>
      </c>
      <c r="N47" s="2">
        <f>IF(AND(M47="Yes",OR(QUIZ!$B$5="All Subjects",B47=QUIZ!$B$5),OR(QUIZ!$G$5="All Difficulties",E47=QUIZ!$G$5)),1,0)</f>
        <v>0</v>
      </c>
      <c r="O47" s="2">
        <f>IF(N47=0,999999,MOD(IFERROR(VALUE(RIGHT(A47,3)),ROW())*7919+IF(N(QUIZ!$B$6)=0,1,QUIZ!$B$6)*104729+ROW()*IF(N(QUIZ!$B$6)=0,1,QUIZ!$B$6),999983)+ROW()/1000)</f>
        <v>999999</v>
      </c>
      <c r="P47" s="2" t="str">
        <f t="shared" si="1"/>
        <v/>
      </c>
    </row>
    <row r="48" spans="1:16" ht="36" customHeight="1" x14ac:dyDescent="0.25">
      <c r="A48" s="2" t="s">
        <v>480</v>
      </c>
      <c r="B48" s="2" t="s">
        <v>5</v>
      </c>
      <c r="C48" s="2" t="s">
        <v>249</v>
      </c>
      <c r="D48" s="2" t="s">
        <v>216</v>
      </c>
      <c r="E48" s="2" t="s">
        <v>11</v>
      </c>
      <c r="F48" s="2" t="s">
        <v>481</v>
      </c>
      <c r="G48" s="4" t="s">
        <v>482</v>
      </c>
      <c r="H48" s="4" t="s">
        <v>483</v>
      </c>
      <c r="I48" s="4" t="s">
        <v>484</v>
      </c>
      <c r="J48" s="4" t="s">
        <v>485</v>
      </c>
      <c r="K48" s="2" t="s">
        <v>16</v>
      </c>
      <c r="L48" s="2" t="s">
        <v>486</v>
      </c>
      <c r="M48" s="2" t="s">
        <v>40</v>
      </c>
      <c r="N48" s="2">
        <f>IF(AND(M48="Yes",OR(QUIZ!$B$5="All Subjects",B48=QUIZ!$B$5),OR(QUIZ!$G$5="All Difficulties",E48=QUIZ!$G$5)),1,0)</f>
        <v>0</v>
      </c>
      <c r="O48" s="2">
        <f>IF(N48=0,999999,MOD(IFERROR(VALUE(RIGHT(A48,3)),ROW())*7919+IF(N(QUIZ!$B$6)=0,1,QUIZ!$B$6)*104729+ROW()*IF(N(QUIZ!$B$6)=0,1,QUIZ!$B$6),999983)+ROW()/1000)</f>
        <v>999999</v>
      </c>
      <c r="P48" s="2" t="str">
        <f t="shared" si="1"/>
        <v/>
      </c>
    </row>
    <row r="49" spans="1:16" ht="36" customHeight="1" x14ac:dyDescent="0.25">
      <c r="A49" s="2" t="s">
        <v>487</v>
      </c>
      <c r="B49" s="2" t="s">
        <v>5</v>
      </c>
      <c r="C49" s="2" t="s">
        <v>207</v>
      </c>
      <c r="D49" s="2" t="s">
        <v>257</v>
      </c>
      <c r="E49" s="2" t="s">
        <v>11</v>
      </c>
      <c r="F49" s="2" t="s">
        <v>488</v>
      </c>
      <c r="G49" s="4" t="s">
        <v>489</v>
      </c>
      <c r="H49" s="4" t="s">
        <v>490</v>
      </c>
      <c r="I49" s="4" t="s">
        <v>491</v>
      </c>
      <c r="J49" s="4" t="s">
        <v>492</v>
      </c>
      <c r="K49" s="2" t="s">
        <v>15</v>
      </c>
      <c r="L49" s="2" t="s">
        <v>493</v>
      </c>
      <c r="M49" s="2" t="s">
        <v>40</v>
      </c>
      <c r="N49" s="2">
        <f>IF(AND(M49="Yes",OR(QUIZ!$B$5="All Subjects",B49=QUIZ!$B$5),OR(QUIZ!$G$5="All Difficulties",E49=QUIZ!$G$5)),1,0)</f>
        <v>0</v>
      </c>
      <c r="O49" s="2">
        <f>IF(N49=0,999999,MOD(IFERROR(VALUE(RIGHT(A49,3)),ROW())*7919+IF(N(QUIZ!$B$6)=0,1,QUIZ!$B$6)*104729+ROW()*IF(N(QUIZ!$B$6)=0,1,QUIZ!$B$6),999983)+ROW()/1000)</f>
        <v>999999</v>
      </c>
      <c r="P49" s="2" t="str">
        <f t="shared" si="1"/>
        <v/>
      </c>
    </row>
    <row r="50" spans="1:16" ht="36" customHeight="1" x14ac:dyDescent="0.25">
      <c r="A50" s="2" t="s">
        <v>494</v>
      </c>
      <c r="B50" s="2" t="s">
        <v>5</v>
      </c>
      <c r="C50" s="2" t="s">
        <v>240</v>
      </c>
      <c r="D50" s="2" t="s">
        <v>241</v>
      </c>
      <c r="E50" s="2" t="s">
        <v>11</v>
      </c>
      <c r="F50" s="2" t="s">
        <v>495</v>
      </c>
      <c r="G50" s="4" t="s">
        <v>496</v>
      </c>
      <c r="H50" s="4" t="s">
        <v>497</v>
      </c>
      <c r="I50" s="4" t="s">
        <v>498</v>
      </c>
      <c r="J50" s="4" t="s">
        <v>499</v>
      </c>
      <c r="K50" s="2" t="s">
        <v>15</v>
      </c>
      <c r="L50" s="2" t="s">
        <v>500</v>
      </c>
      <c r="M50" s="2" t="s">
        <v>40</v>
      </c>
      <c r="N50" s="2">
        <f>IF(AND(M50="Yes",OR(QUIZ!$B$5="All Subjects",B50=QUIZ!$B$5),OR(QUIZ!$G$5="All Difficulties",E50=QUIZ!$G$5)),1,0)</f>
        <v>0</v>
      </c>
      <c r="O50" s="2">
        <f>IF(N50=0,999999,MOD(IFERROR(VALUE(RIGHT(A50,3)),ROW())*7919+IF(N(QUIZ!$B$6)=0,1,QUIZ!$B$6)*104729+ROW()*IF(N(QUIZ!$B$6)=0,1,QUIZ!$B$6),999983)+ROW()/1000)</f>
        <v>999999</v>
      </c>
      <c r="P50" s="2" t="str">
        <f t="shared" si="1"/>
        <v/>
      </c>
    </row>
    <row r="51" spans="1:16" ht="36" customHeight="1" x14ac:dyDescent="0.25">
      <c r="A51" s="2" t="s">
        <v>543</v>
      </c>
      <c r="B51" s="2" t="s">
        <v>2</v>
      </c>
      <c r="C51" s="2" t="s">
        <v>33</v>
      </c>
      <c r="D51" s="2" t="s">
        <v>48</v>
      </c>
      <c r="E51" s="2" t="s">
        <v>10</v>
      </c>
      <c r="F51" s="2" t="s">
        <v>544</v>
      </c>
      <c r="G51" s="4" t="s">
        <v>545</v>
      </c>
      <c r="H51" s="4" t="s">
        <v>546</v>
      </c>
      <c r="I51" s="4" t="s">
        <v>547</v>
      </c>
      <c r="J51" s="4" t="s">
        <v>548</v>
      </c>
      <c r="K51" s="2" t="s">
        <v>14</v>
      </c>
      <c r="L51" s="2" t="s">
        <v>549</v>
      </c>
      <c r="M51" s="2" t="s">
        <v>40</v>
      </c>
      <c r="N51" s="2">
        <f>IF(AND(M51="Yes",OR(QUIZ!$B$5="All Subjects",B51=QUIZ!$B$5),OR(QUIZ!$G$5="All Difficulties",E51=QUIZ!$G$5)),1,0)</f>
        <v>1</v>
      </c>
      <c r="O51" s="2">
        <f>IF(N51=0,999999,MOD(IFERROR(VALUE(RIGHT(A51,3)),ROW())*7919+IF(N(QUIZ!$B$6)=0,1,QUIZ!$B$6)*104729+ROW()*IF(N(QUIZ!$B$6)=0,1,QUIZ!$B$6),999983)+ROW()/1000)</f>
        <v>112699.05100000001</v>
      </c>
      <c r="P51" s="2">
        <f t="shared" ref="P51:P60" si="2">IF(N51=0,"",COUNTIFS($N$2:$N$500,1,$O$2:$O$500,"&lt;"&amp;O51)+1)</f>
        <v>1</v>
      </c>
    </row>
    <row r="52" spans="1:16" ht="36" customHeight="1" x14ac:dyDescent="0.25">
      <c r="A52" s="2" t="s">
        <v>550</v>
      </c>
      <c r="B52" s="2" t="s">
        <v>2</v>
      </c>
      <c r="C52" s="2" t="s">
        <v>33</v>
      </c>
      <c r="D52" s="2" t="s">
        <v>48</v>
      </c>
      <c r="E52" s="2" t="s">
        <v>10</v>
      </c>
      <c r="F52" s="2" t="s">
        <v>551</v>
      </c>
      <c r="G52" s="4" t="s">
        <v>552</v>
      </c>
      <c r="H52" s="4" t="s">
        <v>553</v>
      </c>
      <c r="I52" s="4" t="s">
        <v>554</v>
      </c>
      <c r="J52" s="4" t="s">
        <v>555</v>
      </c>
      <c r="K52" s="2" t="s">
        <v>14</v>
      </c>
      <c r="L52" s="2" t="s">
        <v>556</v>
      </c>
      <c r="M52" s="2" t="s">
        <v>40</v>
      </c>
      <c r="N52" s="2">
        <f>IF(AND(M52="Yes",OR(QUIZ!$B$5="All Subjects",B52=QUIZ!$B$5),OR(QUIZ!$G$5="All Difficulties",E52=QUIZ!$G$5)),1,0)</f>
        <v>1</v>
      </c>
      <c r="O52" s="2">
        <f>IF(N52=0,999999,MOD(IFERROR(VALUE(RIGHT(A52,3)),ROW())*7919+IF(N(QUIZ!$B$6)=0,1,QUIZ!$B$6)*104729+ROW()*IF(N(QUIZ!$B$6)=0,1,QUIZ!$B$6),999983)+ROW()/1000)</f>
        <v>120619.052</v>
      </c>
      <c r="P52" s="2">
        <f t="shared" si="2"/>
        <v>3</v>
      </c>
    </row>
    <row r="53" spans="1:16" ht="36" customHeight="1" x14ac:dyDescent="0.25">
      <c r="A53" s="2" t="s">
        <v>557</v>
      </c>
      <c r="B53" s="2" t="s">
        <v>2</v>
      </c>
      <c r="C53" s="2" t="s">
        <v>33</v>
      </c>
      <c r="D53" s="2" t="s">
        <v>48</v>
      </c>
      <c r="E53" s="2" t="s">
        <v>10</v>
      </c>
      <c r="F53" s="2" t="s">
        <v>558</v>
      </c>
      <c r="G53" s="4" t="s">
        <v>559</v>
      </c>
      <c r="H53" s="4" t="s">
        <v>342</v>
      </c>
      <c r="I53" s="4" t="s">
        <v>560</v>
      </c>
      <c r="J53" s="4" t="s">
        <v>338</v>
      </c>
      <c r="K53" s="2" t="s">
        <v>14</v>
      </c>
      <c r="L53" s="2" t="s">
        <v>561</v>
      </c>
      <c r="M53" s="2" t="s">
        <v>40</v>
      </c>
      <c r="N53" s="2">
        <f>IF(AND(M53="Yes",OR(QUIZ!$B$5="All Subjects",B53=QUIZ!$B$5),OR(QUIZ!$G$5="All Difficulties",E53=QUIZ!$G$5)),1,0)</f>
        <v>1</v>
      </c>
      <c r="O53" s="2">
        <f>IF(N53=0,999999,MOD(IFERROR(VALUE(RIGHT(A53,3)),ROW())*7919+IF(N(QUIZ!$B$6)=0,1,QUIZ!$B$6)*104729+ROW()*IF(N(QUIZ!$B$6)=0,1,QUIZ!$B$6),999983)+ROW()/1000)</f>
        <v>128539.053</v>
      </c>
      <c r="P53" s="2">
        <f t="shared" si="2"/>
        <v>4</v>
      </c>
    </row>
    <row r="54" spans="1:16" ht="36" customHeight="1" x14ac:dyDescent="0.25">
      <c r="A54" s="2" t="s">
        <v>562</v>
      </c>
      <c r="B54" s="2" t="s">
        <v>2</v>
      </c>
      <c r="C54" s="2" t="s">
        <v>33</v>
      </c>
      <c r="D54" s="2" t="s">
        <v>48</v>
      </c>
      <c r="E54" s="2" t="s">
        <v>10</v>
      </c>
      <c r="F54" s="2" t="s">
        <v>563</v>
      </c>
      <c r="G54" s="4" t="s">
        <v>346</v>
      </c>
      <c r="H54" s="4" t="s">
        <v>430</v>
      </c>
      <c r="I54" s="4" t="s">
        <v>343</v>
      </c>
      <c r="J54" s="4" t="s">
        <v>345</v>
      </c>
      <c r="K54" s="2" t="s">
        <v>14</v>
      </c>
      <c r="L54" s="2" t="s">
        <v>564</v>
      </c>
      <c r="M54" s="2" t="s">
        <v>40</v>
      </c>
      <c r="N54" s="2">
        <f>IF(AND(M54="Yes",OR(QUIZ!$B$5="All Subjects",B54=QUIZ!$B$5),OR(QUIZ!$G$5="All Difficulties",E54=QUIZ!$G$5)),1,0)</f>
        <v>1</v>
      </c>
      <c r="O54" s="2">
        <f>IF(N54=0,999999,MOD(IFERROR(VALUE(RIGHT(A54,3)),ROW())*7919+IF(N(QUIZ!$B$6)=0,1,QUIZ!$B$6)*104729+ROW()*IF(N(QUIZ!$B$6)=0,1,QUIZ!$B$6),999983)+ROW()/1000)</f>
        <v>136459.054</v>
      </c>
      <c r="P54" s="2">
        <f t="shared" si="2"/>
        <v>6</v>
      </c>
    </row>
    <row r="55" spans="1:16" ht="36" customHeight="1" x14ac:dyDescent="0.25">
      <c r="A55" s="2" t="s">
        <v>565</v>
      </c>
      <c r="B55" s="2" t="s">
        <v>2</v>
      </c>
      <c r="C55" s="2" t="s">
        <v>33</v>
      </c>
      <c r="D55" s="2" t="s">
        <v>48</v>
      </c>
      <c r="E55" s="2" t="s">
        <v>10</v>
      </c>
      <c r="F55" s="2" t="s">
        <v>566</v>
      </c>
      <c r="G55" s="4" t="s">
        <v>567</v>
      </c>
      <c r="H55" s="4" t="s">
        <v>568</v>
      </c>
      <c r="I55" s="4" t="s">
        <v>569</v>
      </c>
      <c r="J55" s="4" t="s">
        <v>570</v>
      </c>
      <c r="K55" s="2" t="s">
        <v>14</v>
      </c>
      <c r="L55" s="2" t="s">
        <v>571</v>
      </c>
      <c r="M55" s="2" t="s">
        <v>40</v>
      </c>
      <c r="N55" s="2">
        <f>IF(AND(M55="Yes",OR(QUIZ!$B$5="All Subjects",B55=QUIZ!$B$5),OR(QUIZ!$G$5="All Difficulties",E55=QUIZ!$G$5)),1,0)</f>
        <v>1</v>
      </c>
      <c r="O55" s="2">
        <f>IF(N55=0,999999,MOD(IFERROR(VALUE(RIGHT(A55,3)),ROW())*7919+IF(N(QUIZ!$B$6)=0,1,QUIZ!$B$6)*104729+ROW()*IF(N(QUIZ!$B$6)=0,1,QUIZ!$B$6),999983)+ROW()/1000)</f>
        <v>144379.05499999999</v>
      </c>
      <c r="P55" s="2">
        <f t="shared" si="2"/>
        <v>7</v>
      </c>
    </row>
    <row r="56" spans="1:16" ht="36" customHeight="1" x14ac:dyDescent="0.25">
      <c r="A56" s="2" t="s">
        <v>572</v>
      </c>
      <c r="B56" s="2" t="s">
        <v>2</v>
      </c>
      <c r="C56" s="2" t="s">
        <v>33</v>
      </c>
      <c r="D56" s="2" t="s">
        <v>48</v>
      </c>
      <c r="E56" s="2" t="s">
        <v>10</v>
      </c>
      <c r="F56" s="2" t="s">
        <v>573</v>
      </c>
      <c r="G56" s="4" t="s">
        <v>559</v>
      </c>
      <c r="H56" s="4" t="s">
        <v>574</v>
      </c>
      <c r="I56" s="4" t="s">
        <v>560</v>
      </c>
      <c r="J56" s="4" t="s">
        <v>575</v>
      </c>
      <c r="K56" s="2" t="s">
        <v>14</v>
      </c>
      <c r="L56" s="2" t="s">
        <v>576</v>
      </c>
      <c r="M56" s="2" t="s">
        <v>40</v>
      </c>
      <c r="N56" s="2">
        <f>IF(AND(M56="Yes",OR(QUIZ!$B$5="All Subjects",B56=QUIZ!$B$5),OR(QUIZ!$G$5="All Difficulties",E56=QUIZ!$G$5)),1,0)</f>
        <v>1</v>
      </c>
      <c r="O56" s="2">
        <f>IF(N56=0,999999,MOD(IFERROR(VALUE(RIGHT(A56,3)),ROW())*7919+IF(N(QUIZ!$B$6)=0,1,QUIZ!$B$6)*104729+ROW()*IF(N(QUIZ!$B$6)=0,1,QUIZ!$B$6),999983)+ROW()/1000)</f>
        <v>152299.05600000001</v>
      </c>
      <c r="P56" s="2">
        <f t="shared" si="2"/>
        <v>9</v>
      </c>
    </row>
    <row r="57" spans="1:16" ht="36" customHeight="1" x14ac:dyDescent="0.25">
      <c r="A57" s="2" t="s">
        <v>577</v>
      </c>
      <c r="B57" s="2" t="s">
        <v>2</v>
      </c>
      <c r="C57" s="2" t="s">
        <v>33</v>
      </c>
      <c r="D57" s="2" t="s">
        <v>48</v>
      </c>
      <c r="E57" s="2" t="s">
        <v>10</v>
      </c>
      <c r="F57" s="2" t="s">
        <v>578</v>
      </c>
      <c r="G57" s="4" t="s">
        <v>579</v>
      </c>
      <c r="H57" s="4" t="s">
        <v>580</v>
      </c>
      <c r="I57" s="4" t="s">
        <v>581</v>
      </c>
      <c r="J57" s="4" t="s">
        <v>582</v>
      </c>
      <c r="K57" s="2" t="s">
        <v>14</v>
      </c>
      <c r="L57" s="2" t="s">
        <v>583</v>
      </c>
      <c r="M57" s="2" t="s">
        <v>40</v>
      </c>
      <c r="N57" s="2">
        <f>IF(AND(M57="Yes",OR(QUIZ!$B$5="All Subjects",B57=QUIZ!$B$5),OR(QUIZ!$G$5="All Difficulties",E57=QUIZ!$G$5)),1,0)</f>
        <v>1</v>
      </c>
      <c r="O57" s="2">
        <f>IF(N57=0,999999,MOD(IFERROR(VALUE(RIGHT(A57,3)),ROW())*7919+IF(N(QUIZ!$B$6)=0,1,QUIZ!$B$6)*104729+ROW()*IF(N(QUIZ!$B$6)=0,1,QUIZ!$B$6),999983)+ROW()/1000)</f>
        <v>160219.057</v>
      </c>
      <c r="P57" s="2">
        <f t="shared" si="2"/>
        <v>10</v>
      </c>
    </row>
    <row r="58" spans="1:16" ht="36" customHeight="1" x14ac:dyDescent="0.25">
      <c r="A58" s="2" t="s">
        <v>584</v>
      </c>
      <c r="B58" s="2" t="s">
        <v>2</v>
      </c>
      <c r="C58" s="2" t="s">
        <v>33</v>
      </c>
      <c r="D58" s="2" t="s">
        <v>48</v>
      </c>
      <c r="E58" s="2" t="s">
        <v>10</v>
      </c>
      <c r="F58" s="2" t="s">
        <v>585</v>
      </c>
      <c r="G58" s="4" t="s">
        <v>586</v>
      </c>
      <c r="H58" s="4" t="s">
        <v>436</v>
      </c>
      <c r="I58" s="4" t="s">
        <v>559</v>
      </c>
      <c r="J58" s="4" t="s">
        <v>587</v>
      </c>
      <c r="K58" s="2" t="s">
        <v>14</v>
      </c>
      <c r="L58" s="2" t="s">
        <v>588</v>
      </c>
      <c r="M58" s="2" t="s">
        <v>40</v>
      </c>
      <c r="N58" s="2">
        <f>IF(AND(M58="Yes",OR(QUIZ!$B$5="All Subjects",B58=QUIZ!$B$5),OR(QUIZ!$G$5="All Difficulties",E58=QUIZ!$G$5)),1,0)</f>
        <v>1</v>
      </c>
      <c r="O58" s="2">
        <f>IF(N58=0,999999,MOD(IFERROR(VALUE(RIGHT(A58,3)),ROW())*7919+IF(N(QUIZ!$B$6)=0,1,QUIZ!$B$6)*104729+ROW()*IF(N(QUIZ!$B$6)=0,1,QUIZ!$B$6),999983)+ROW()/1000)</f>
        <v>168139.05799999999</v>
      </c>
      <c r="P58" s="2">
        <f t="shared" si="2"/>
        <v>12</v>
      </c>
    </row>
    <row r="59" spans="1:16" ht="36" customHeight="1" x14ac:dyDescent="0.25">
      <c r="A59" s="2" t="s">
        <v>589</v>
      </c>
      <c r="B59" s="2" t="s">
        <v>2</v>
      </c>
      <c r="C59" s="2" t="s">
        <v>33</v>
      </c>
      <c r="D59" s="2" t="s">
        <v>48</v>
      </c>
      <c r="E59" s="2" t="s">
        <v>10</v>
      </c>
      <c r="F59" s="2" t="s">
        <v>590</v>
      </c>
      <c r="G59" s="4" t="s">
        <v>591</v>
      </c>
      <c r="H59" s="4" t="s">
        <v>592</v>
      </c>
      <c r="I59" s="4" t="s">
        <v>567</v>
      </c>
      <c r="J59" s="4" t="s">
        <v>593</v>
      </c>
      <c r="K59" s="2" t="s">
        <v>14</v>
      </c>
      <c r="L59" s="2" t="s">
        <v>594</v>
      </c>
      <c r="M59" s="2" t="s">
        <v>40</v>
      </c>
      <c r="N59" s="2">
        <f>IF(AND(M59="Yes",OR(QUIZ!$B$5="All Subjects",B59=QUIZ!$B$5),OR(QUIZ!$G$5="All Difficulties",E59=QUIZ!$G$5)),1,0)</f>
        <v>1</v>
      </c>
      <c r="O59" s="2">
        <f>IF(N59=0,999999,MOD(IFERROR(VALUE(RIGHT(A59,3)),ROW())*7919+IF(N(QUIZ!$B$6)=0,1,QUIZ!$B$6)*104729+ROW()*IF(N(QUIZ!$B$6)=0,1,QUIZ!$B$6),999983)+ROW()/1000)</f>
        <v>176059.05900000001</v>
      </c>
      <c r="P59" s="2">
        <f t="shared" si="2"/>
        <v>13</v>
      </c>
    </row>
    <row r="60" spans="1:16" ht="36" customHeight="1" x14ac:dyDescent="0.25">
      <c r="A60" s="2" t="s">
        <v>595</v>
      </c>
      <c r="B60" s="2" t="s">
        <v>2</v>
      </c>
      <c r="C60" s="2" t="s">
        <v>33</v>
      </c>
      <c r="D60" s="2" t="s">
        <v>48</v>
      </c>
      <c r="E60" s="2" t="s">
        <v>10</v>
      </c>
      <c r="F60" s="2" t="s">
        <v>596</v>
      </c>
      <c r="G60" s="4" t="s">
        <v>559</v>
      </c>
      <c r="H60" s="4" t="s">
        <v>560</v>
      </c>
      <c r="I60" s="4" t="s">
        <v>597</v>
      </c>
      <c r="J60" s="4" t="s">
        <v>598</v>
      </c>
      <c r="K60" s="2" t="s">
        <v>14</v>
      </c>
      <c r="L60" s="2" t="s">
        <v>599</v>
      </c>
      <c r="M60" s="2" t="s">
        <v>40</v>
      </c>
      <c r="N60" s="2">
        <f>IF(AND(M60="Yes",OR(QUIZ!$B$5="All Subjects",B60=QUIZ!$B$5),OR(QUIZ!$G$5="All Difficulties",E60=QUIZ!$G$5)),1,0)</f>
        <v>1</v>
      </c>
      <c r="O60" s="2">
        <f>IF(N60=0,999999,MOD(IFERROR(VALUE(RIGHT(A60,3)),ROW())*7919+IF(N(QUIZ!$B$6)=0,1,QUIZ!$B$6)*104729+ROW()*IF(N(QUIZ!$B$6)=0,1,QUIZ!$B$6),999983)+ROW()/1000)</f>
        <v>183979.06</v>
      </c>
      <c r="P60" s="2">
        <f t="shared" si="2"/>
        <v>14</v>
      </c>
    </row>
  </sheetData>
  <conditionalFormatting sqref="E2:E60">
    <cfRule type="containsText" dxfId="12" priority="1" operator="containsText" text="Easy">
      <formula>NOT(ISERROR(SEARCH("Easy",E2)))</formula>
    </cfRule>
    <cfRule type="containsText" dxfId="11" priority="2" operator="containsText" text="Medium">
      <formula>NOT(ISERROR(SEARCH("Medium",E2)))</formula>
    </cfRule>
    <cfRule type="containsText" dxfId="10" priority="3" operator="containsText" text="Hard">
      <formula>NOT(ISERROR(SEARCH("Hard",E2)))</formula>
    </cfRule>
  </conditionalFormatting>
  <conditionalFormatting sqref="M2:M60">
    <cfRule type="containsText" dxfId="9" priority="4" operator="containsText" text="No">
      <formula>NOT(ISERROR(SEARCH("No",M2)))</formula>
    </cfRule>
  </conditionalFormatting>
  <hyperlinks>
    <hyperlink ref="O1" location="'HOME'!A1" tooltip="Back to Home" display="← HOME" xr:uid="{6CAA1191-051E-4BE6-BAB2-9F7291395F45}"/>
    <hyperlink ref="R1" location="'AI QUESTION GENERATOR'!A1" tooltip="Build a prompt for new questions" display="AI QUESTION GENERATOR" xr:uid="{7C65D077-3FED-4825-9718-A5C1FDEC5A37}"/>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1343-21A7-426B-B01A-C32C6646E80A}">
  <sheetPr>
    <tabColor rgb="FF6B4C9A"/>
  </sheetPr>
  <dimension ref="A1:AA65"/>
  <sheetViews>
    <sheetView workbookViewId="0">
      <selection activeCell="B3" sqref="B3"/>
    </sheetView>
  </sheetViews>
  <sheetFormatPr defaultRowHeight="15" x14ac:dyDescent="0.25"/>
  <cols>
    <col min="1" max="1" width="34.28515625" customWidth="1"/>
    <col min="2" max="2" width="30.42578125" customWidth="1"/>
    <col min="3" max="4" width="22.85546875" customWidth="1"/>
    <col min="5" max="5" width="53.28515625" customWidth="1"/>
    <col min="6" max="13" width="21" customWidth="1"/>
    <col min="26" max="27" width="0" hidden="1" customWidth="1"/>
  </cols>
  <sheetData>
    <row r="1" spans="1:27" ht="32.1" customHeight="1" x14ac:dyDescent="0.45">
      <c r="A1" s="121" t="s">
        <v>516</v>
      </c>
      <c r="B1" s="122"/>
      <c r="C1" s="122"/>
      <c r="D1" s="122"/>
      <c r="E1" s="122"/>
      <c r="F1" s="122"/>
      <c r="G1" s="122"/>
      <c r="H1" s="122"/>
      <c r="Z1" t="s">
        <v>21</v>
      </c>
      <c r="AA1" t="s">
        <v>528</v>
      </c>
    </row>
    <row r="2" spans="1:27" x14ac:dyDescent="0.25">
      <c r="A2" s="123" t="s">
        <v>517</v>
      </c>
      <c r="B2" s="124"/>
      <c r="C2" s="124"/>
      <c r="D2" s="124"/>
      <c r="E2" s="124"/>
      <c r="F2" s="124"/>
      <c r="G2" s="124"/>
      <c r="H2" s="124"/>
      <c r="Z2" t="s">
        <v>2</v>
      </c>
      <c r="AA2" t="s">
        <v>529</v>
      </c>
    </row>
    <row r="3" spans="1:27" x14ac:dyDescent="0.25">
      <c r="A3" s="9" t="s">
        <v>518</v>
      </c>
      <c r="B3" s="39" t="s">
        <v>2</v>
      </c>
      <c r="Z3" t="s">
        <v>3</v>
      </c>
      <c r="AA3" t="s">
        <v>530</v>
      </c>
    </row>
    <row r="4" spans="1:27" x14ac:dyDescent="0.25">
      <c r="A4" s="9" t="s">
        <v>519</v>
      </c>
      <c r="B4" s="39" t="s">
        <v>33</v>
      </c>
      <c r="Z4" t="s">
        <v>4</v>
      </c>
      <c r="AA4" t="s">
        <v>531</v>
      </c>
    </row>
    <row r="5" spans="1:27" x14ac:dyDescent="0.25">
      <c r="A5" s="9" t="s">
        <v>520</v>
      </c>
      <c r="B5" s="39" t="s">
        <v>48</v>
      </c>
      <c r="Z5" t="s">
        <v>5</v>
      </c>
      <c r="AA5" t="s">
        <v>532</v>
      </c>
    </row>
    <row r="6" spans="1:27" x14ac:dyDescent="0.25">
      <c r="A6" s="9" t="s">
        <v>521</v>
      </c>
      <c r="B6" s="39" t="s">
        <v>10</v>
      </c>
      <c r="Z6" t="s">
        <v>6</v>
      </c>
      <c r="AA6" t="s">
        <v>533</v>
      </c>
    </row>
    <row r="7" spans="1:27" x14ac:dyDescent="0.25">
      <c r="A7" s="9" t="s">
        <v>522</v>
      </c>
      <c r="B7" s="39">
        <v>10</v>
      </c>
      <c r="Z7" t="s">
        <v>501</v>
      </c>
      <c r="AA7" t="s">
        <v>534</v>
      </c>
    </row>
    <row r="8" spans="1:27" x14ac:dyDescent="0.25">
      <c r="A8" s="9" t="s">
        <v>523</v>
      </c>
      <c r="B8" s="39" t="s">
        <v>511</v>
      </c>
      <c r="Z8" t="s">
        <v>502</v>
      </c>
      <c r="AA8" t="s">
        <v>535</v>
      </c>
    </row>
    <row r="9" spans="1:27" x14ac:dyDescent="0.25">
      <c r="A9" s="9" t="s">
        <v>524</v>
      </c>
      <c r="B9" s="40" t="str" cm="1">
        <f t="array" ref="B9">_xlfn.LET(_xlpm.pfx,IF(B3="","OTH",IFERROR(_xlfn.XLOOKUP(B3,$Z$2:$Z$10,$AA$2:$AA$10),UPPER(LEFT(SUBSTITUTE(B3," ",""),3)))), _xlpm.n,IFERROR(MAX(VALUE(RIGHT(_xlfn._xlws.FILTER(tblQuestions[Question ID],LEFT(tblQuestions[Question ID],LEN(_xlpm.pfx))=_xlpm.pfx),3))),0)+1, _xlpm.pfx&amp;TEXT(_xlpm.n,"000")&amp;" to "&amp;_xlpm.pfx&amp;TEXT(_xlpm.n+MAX(B7,1)-1,"000"))</f>
        <v>MATH011 to MATH020</v>
      </c>
      <c r="D9" t="str" cm="1">
        <f t="array" ref="D9">_xlfn.LET(_xlpm.pfx,IF(B3="","OTH",IFERROR(_xlfn.XLOOKUP(B3,$Z$2:$Z$10,$AA$2:$AA$10),UPPER(LEFT(SUBSTITUTE(B3," ",""),3)))), _xlpm.n,IFERROR(MAX(VALUE(RIGHT(_xlfn._xlws.FILTER(tblQuestions[Question ID],LEFT(tblQuestions[Question ID],LEN(_xlpm.pfx))=_xlpm.pfx),3))),0)+1, _xlpm.pfx&amp;TEXT(_xlpm.n,"000"))</f>
        <v>MATH011</v>
      </c>
      <c r="Z9" t="s">
        <v>503</v>
      </c>
      <c r="AA9" t="s">
        <v>536</v>
      </c>
    </row>
    <row r="10" spans="1:27" x14ac:dyDescent="0.25">
      <c r="A10" s="9" t="s">
        <v>525</v>
      </c>
      <c r="B10" s="39" t="s">
        <v>515</v>
      </c>
      <c r="Z10" t="s">
        <v>504</v>
      </c>
      <c r="AA10" t="s">
        <v>537</v>
      </c>
    </row>
    <row r="11" spans="1:27" ht="21.95" customHeight="1" x14ac:dyDescent="0.25">
      <c r="A11" s="9" t="s">
        <v>526</v>
      </c>
      <c r="B11" s="62" t="s">
        <v>527</v>
      </c>
      <c r="C11" s="48"/>
      <c r="D11" s="48"/>
      <c r="E11" s="48"/>
      <c r="F11" s="48"/>
      <c r="G11" s="48"/>
      <c r="H11" s="48"/>
    </row>
    <row r="12" spans="1:27" ht="21.95" customHeight="1" x14ac:dyDescent="0.25">
      <c r="B12" s="48"/>
      <c r="C12" s="48"/>
      <c r="D12" s="48"/>
      <c r="E12" s="48"/>
      <c r="F12" s="48"/>
      <c r="G12" s="48"/>
      <c r="H12" s="48"/>
    </row>
    <row r="13" spans="1:27" ht="21.95" customHeight="1" x14ac:dyDescent="0.25">
      <c r="B13" s="48"/>
      <c r="C13" s="48"/>
      <c r="D13" s="48"/>
      <c r="E13" s="48"/>
      <c r="F13" s="48"/>
      <c r="G13" s="48"/>
      <c r="H13" s="48"/>
    </row>
    <row r="16" spans="1:27" x14ac:dyDescent="0.25">
      <c r="A16" s="125" t="s">
        <v>538</v>
      </c>
      <c r="B16" s="125"/>
      <c r="C16" s="125"/>
      <c r="D16" s="125"/>
      <c r="E16" s="125"/>
      <c r="F16" s="125"/>
      <c r="G16" s="125"/>
      <c r="H16" s="125"/>
    </row>
    <row r="17" spans="1:8" ht="18" customHeight="1" x14ac:dyDescent="0.25">
      <c r="A17" s="50" t="str" cm="1">
        <f t="array" ref="A17">_xlfn.CONCAT("Generate new questions for my Excel AI Study Assistant.",CHAR(10),CHAR(10),"Subject: ",B3,CHAR(10),"Topic: ",B4,CHAR(10),"Subtopic: ",B5,CHAR(10),"Difficulty: ",B6,CHAR(10),"Number of questions: ",B7,CHAR(10),"Question type: ",B8,CHAR(10),"Question style: ",B10,CHAR(10),"Starting Question ID: ",D9,CHAR(10),"Ending Question ID: ",_xlfn.LET(_xlpm.pfx,LEFT(D9,LEN(D9)-3), _xlpm.n, VALUE(RIGHT(D9,3)), _xlpm.pfx&amp;TEXT(_xlpm.n+MAX(B7,1)-1,"000")),CHAR(10),"Special instructions: ",B11,CHAR(10),CHAR(10),"CRITICAL INSTRUCTIONS",CHAR(10),"1. Generate exactly the requested number of questions.",CHAR(10),"2. Every question must be multiple choice.",CHAR(10),"3. Every question must have exactly four options: A, B, C, and D.",CHAR(10),"4. Exactly ONE option must be correct.",CHAR(10),"5. Provide the correct answer.",CHAR(10),"6. Provide a concise explanation.",CHAR(10),"7. Questions must be factually accurate.",CHAR(10),"8. Questions must match the requested subject, topic, subtopic, and difficulty. If difficulty is Mixed, spread Easy, Medium, and Hard.",CHAR(10),"9. Do not create duplicate questions.",CHAR(10),"10. Do not create questions that are merely reworded versions of each other.",CHAR(10),"11. Use different concepts and calculations whenever possible.",CHAR(10),"12. Make incorrect options plausible rather than obviously wrong.",CHAR(10),"13. For numerical questions, independently calculate and verify the answer.",CHAR(10),"14. Do not include answers inside the question text.",CHAR(10),"15. Do not use question numbers such as Question 1 inside the question text.",CHAR(10),"16. Generate unique Question IDs, starting at ",D9," and increasing by 1.",CHAR(10),"17. Do not reuse Question IDs that already exist in QUESTION_BANK.",CHAR(10),"18. Keep explanations short but useful.",CHAR(10),"19. Do not include Markdown tables.",CHAR(10),"20. Do not include headings, introductions, explanations, or extra text around the data.",CHAR(10),"21. Return ONLY the data rows in the exact requested format.",CHAR(10),CHAR(10),"EXACT OUTPUT FORMAT",CHAR(10),"Return TAB-SEPARATED VALUES with exactly these columns, in this order:",CHAR(10),"Question ID, Subject, Topic, Subtopic, Difficulty, Question, Option A, Option B, Option C, Option D, Correct Answer, Explanation, Active",CHAR(10),"Correct Answer must be only A, B, C, or D. Set Active to Yes on every row.",CHAR(10),"Example (tabs, not spaces):",CHAR(10),D9,CHAR(9),B3,CHAR(9),B4,CHAR(9),B5,CHAR(9),IF(B6="Mixed","Medium",B6),CHAR(9),"What is the integral of 2x?",CHAR(9),"x^2 + C",CHAR(9),"2x^2 + C",CHAR(9),"x + C",CHAR(9),"2 + C",CHAR(9),"A",CHAR(9),"The integral of 2x is x^2 + C.",CHAR(9),"Yes",CHAR(10),CHAR(10),"Do NOT add Markdown tables, numbering, bullets, extra columns, blank rows, commentary, or code fences.",CHAR(10),"The rows will be pasted directly underneath the existing records in tblQuestions. Keep this exact column order:",CHAR(10),"A Question ID, B Subject, C Topic, D Subtopic, E Difficulty, F Question, G Option A, H Option B, I Option C, J Option D, K Correct Answer, L Explanation, M Active.",CHAR(10),CHAR(10),"If I provide an existing-question list after this prompt, compare against it and do not repeat or closely reword those questions.",CHAR(10),CHAR(10),"EXISTING QUESTION IDS",CHAR(10),_xlfn.TEXTJOIN(", ",TRUE,tblQuestions[Question ID]),CHAR(10),CHAR(10),"EXISTING QUESTIONS FOR THIS SUBJECT — do not repeat or closely reword these:",CHAR(10),IFERROR(_xlfn.TEXTJOIN(CHAR(10),TRUE,_xlfn._xlws.FILTER(tblQuestions[Question ID]&amp;" | "&amp;tblQuestions[Question],tblQuestions[Subject]=B3)),"None yet for this subject."))</f>
        <v>Generate new questions for my Excel AI Study Assistant.
Subject: Mathematics
Topic: Calculus
Subtopic: Integration
Difficulty: Medium
Number of questions: 10
Question type: Multiple Choice
Question style: Exam Style
Starting Question ID: MATH011
Ending Question ID: MATH020
Special instructions: Focus on integration by substitution and basic definite integrals.
CRITICAL INSTRUCTIONS
1. Generate exactly the requested number of questions.
2. Every question must be multiple choice.
3. Every question must have exactly four options: A, B, C, and D.
4. Exactly ONE option must be correct.
5. Provide the correct answer.
6. Provide a concise explanation.
7. Questions must be factually accurate.
8. Questions must match the requested subject, topic, subtopic, and difficulty. If difficulty is Mixed, spread Easy, Medium, and Hard.
9. Do not create duplicate questions.
10. Do not create questions that are merely reworded versions of each other.
11. Use different concepts and calculations whenever possible.
12. Make incorrect options plausible rather than obviously wrong.
13. For numerical questions, independently calculate and verify the answer.
14. Do not include answers inside the question text.
15. Do not use question numbers such as Question 1 inside the question text.
16. Generate unique Question IDs, starting at MATH011 and increasing by 1.
17. Do not reuse Question IDs that already exist in QUESTION_BANK.
18. Keep explanations short but useful.
19. Do not include Markdown tables.
20. Do not include headings, introductions, explanations, or extra text around the data.
21. Return ONLY the data rows in the exact requested format.
EXACT OUTPUT FORMAT
Return TAB-SEPARATED VALUES with exactly these columns, in this order:
Question ID, Subject, Topic, Subtopic, Difficulty, Question, Option A, Option B, Option C, Option D, Correct Answer, Explanation, Active
Correct Answer must be only A, B, C, or D. Set Active to Yes on every row.
Example (tabs, not spaces):
MATH011	Mathematics	Calculus	Integration	Medium	What is the integral of 2x?	x^2 + C	2x^2 + C	x + C	2 + C	A	The integral of 2x is x^2 + C.	Yes
Do NOT add Markdown tables, numbering, bullets, extra columns, blank rows, commentary, or code fences.
The rows will be pasted directly underneath the existing records in tblQuestions. Keep this exact column order:
A Question ID, B Subject, C Topic, D Subtopic, E Difficulty, F Question, G Option A, H Option B, I Option C, J Option D, K Correct Answer, L Explanation, M Active.
If I provide an existing-question list after this prompt, compare against it and do not repeat or closely reword those questions.
EXISTING QUESTION IDS
Q001, Q002, Q003, Q004, Q005, Q006, Q007, Q008, Q009, Q010, Q011, Q012, Q013, Q014, Q015, Q016, Q017, Q018, Q019, Q020, Q021, Q022, Q023, Q024, Q025, Q026, Q027, Q028, Q029, Q030, Q031, Q032, Q033, Q034, Q035, Q036, Q037, Q038, Q039, Q040, Q041, Q042, Q043, Q044, Q045, Q046, Q047, Q048, Q049, MATH001, MATH002, MATH003, MATH004, MATH005, MATH006, MATH007, MATH008, MATH009, MATH010
EXISTING QUESTIONS FOR THIS SUBJECT — do not repeat or closely reword these:
Q001 | What is the derivative of x²?
Q002 | What is the derivative of sin(x)?
Q003 | What is the indefinite integral of 2x?
Q004 | What is the indefinite integral of 1/x?
Q005 | Solve 2x + 3 = 11.
Q006 | What are the roots of x² − 5x + 6 = 0?
Q007 | What is the mean of 2, 4, 6, and 8?
Q008 | A fair coin is flipped twice. What is the probability of two heads?
Q037 | What is 10% of 200?
Q039 | What is 15% of 80?
Q040 | The median of 3, 9, and 4 is:
MATH001 | Using substitution, evaluate the indefinite integral of 2x(x^2+1)^3.
MATH002 | Using substitution, evaluate the indefinite integral of 2x e^(x^2).
MATH003 | Evaluate the definite integral of 2x from 0 to 1.
MATH004 | Evaluate the definite integral of 3x^2 from 0 to 2.
MATH005 | Using substitution, evaluate the indefinite integral of 2x/(x^2+1).
MATH006 | Evaluate the definite integral of 1/x from 1 to e.
MATH007 | Using the substitution u = sin(x), evaluate the indefinite integral of sin(x)cos(x).
MATH008 | Using substitution, evaluate the definite integral of 2x(x^2+1)^2 from 0 to 1.
MATH009 | Using substitution, evaluate the indefinite integral of x / sqrt(x^2+1).
MATH010 | Evaluate the definite integral of cos(x) from 0 to pi/2.</v>
      </c>
      <c r="B17" s="51"/>
      <c r="C17" s="51"/>
      <c r="D17" s="51"/>
      <c r="E17" s="51"/>
      <c r="F17" s="51"/>
      <c r="G17" s="51"/>
      <c r="H17" s="51"/>
    </row>
    <row r="18" spans="1:8" ht="18" customHeight="1" x14ac:dyDescent="0.25">
      <c r="A18" s="51"/>
      <c r="B18" s="51"/>
      <c r="C18" s="51"/>
      <c r="D18" s="51"/>
      <c r="E18" s="51"/>
      <c r="F18" s="51"/>
      <c r="G18" s="51"/>
      <c r="H18" s="51"/>
    </row>
    <row r="19" spans="1:8" ht="18" customHeight="1" x14ac:dyDescent="0.25">
      <c r="A19" s="51"/>
      <c r="B19" s="51"/>
      <c r="C19" s="51"/>
      <c r="D19" s="51"/>
      <c r="E19" s="51"/>
      <c r="F19" s="51"/>
      <c r="G19" s="51"/>
      <c r="H19" s="51"/>
    </row>
    <row r="20" spans="1:8" ht="18" customHeight="1" x14ac:dyDescent="0.25">
      <c r="A20" s="51"/>
      <c r="B20" s="51"/>
      <c r="C20" s="51"/>
      <c r="D20" s="51"/>
      <c r="E20" s="51"/>
      <c r="F20" s="51"/>
      <c r="G20" s="51"/>
      <c r="H20" s="51"/>
    </row>
    <row r="21" spans="1:8" ht="18" customHeight="1" x14ac:dyDescent="0.25">
      <c r="A21" s="51"/>
      <c r="B21" s="51"/>
      <c r="C21" s="51"/>
      <c r="D21" s="51"/>
      <c r="E21" s="51"/>
      <c r="F21" s="51"/>
      <c r="G21" s="51"/>
      <c r="H21" s="51"/>
    </row>
    <row r="22" spans="1:8" ht="18" customHeight="1" x14ac:dyDescent="0.25">
      <c r="A22" s="51"/>
      <c r="B22" s="51"/>
      <c r="C22" s="51"/>
      <c r="D22" s="51"/>
      <c r="E22" s="51"/>
      <c r="F22" s="51"/>
      <c r="G22" s="51"/>
      <c r="H22" s="51"/>
    </row>
    <row r="23" spans="1:8" ht="18" customHeight="1" x14ac:dyDescent="0.25">
      <c r="A23" s="51"/>
      <c r="B23" s="51"/>
      <c r="C23" s="51"/>
      <c r="D23" s="51"/>
      <c r="E23" s="51"/>
      <c r="F23" s="51"/>
      <c r="G23" s="51"/>
      <c r="H23" s="51"/>
    </row>
    <row r="24" spans="1:8" ht="18" customHeight="1" x14ac:dyDescent="0.25">
      <c r="A24" s="51"/>
      <c r="B24" s="51"/>
      <c r="C24" s="51"/>
      <c r="D24" s="51"/>
      <c r="E24" s="51"/>
      <c r="F24" s="51"/>
      <c r="G24" s="51"/>
      <c r="H24" s="51"/>
    </row>
    <row r="25" spans="1:8" ht="18" customHeight="1" x14ac:dyDescent="0.25">
      <c r="A25" s="51"/>
      <c r="B25" s="51"/>
      <c r="C25" s="51"/>
      <c r="D25" s="51"/>
      <c r="E25" s="51"/>
      <c r="F25" s="51"/>
      <c r="G25" s="51"/>
      <c r="H25" s="51"/>
    </row>
    <row r="26" spans="1:8" ht="18" customHeight="1" x14ac:dyDescent="0.25">
      <c r="A26" s="51"/>
      <c r="B26" s="51"/>
      <c r="C26" s="51"/>
      <c r="D26" s="51"/>
      <c r="E26" s="51"/>
      <c r="F26" s="51"/>
      <c r="G26" s="51"/>
      <c r="H26" s="51"/>
    </row>
    <row r="27" spans="1:8" ht="18" customHeight="1" x14ac:dyDescent="0.25">
      <c r="A27" s="51"/>
      <c r="B27" s="51"/>
      <c r="C27" s="51"/>
      <c r="D27" s="51"/>
      <c r="E27" s="51"/>
      <c r="F27" s="51"/>
      <c r="G27" s="51"/>
      <c r="H27" s="51"/>
    </row>
    <row r="28" spans="1:8" ht="18" customHeight="1" x14ac:dyDescent="0.25">
      <c r="A28" s="51"/>
      <c r="B28" s="51"/>
      <c r="C28" s="51"/>
      <c r="D28" s="51"/>
      <c r="E28" s="51"/>
      <c r="F28" s="51"/>
      <c r="G28" s="51"/>
      <c r="H28" s="51"/>
    </row>
    <row r="29" spans="1:8" ht="18" customHeight="1" x14ac:dyDescent="0.25"/>
    <row r="30" spans="1:8" ht="18" customHeight="1" x14ac:dyDescent="0.25">
      <c r="A30" s="63" t="s">
        <v>539</v>
      </c>
      <c r="B30" s="63"/>
      <c r="C30" s="63"/>
      <c r="D30" s="63"/>
      <c r="E30" s="63"/>
      <c r="F30" s="63"/>
      <c r="G30" s="63"/>
      <c r="H30" s="63"/>
    </row>
    <row r="31" spans="1:8" ht="18" customHeight="1" x14ac:dyDescent="0.25">
      <c r="A31" s="58" t="s">
        <v>540</v>
      </c>
      <c r="B31" s="48"/>
      <c r="C31" s="48"/>
      <c r="D31" s="48"/>
      <c r="E31" s="48"/>
      <c r="F31" s="48"/>
      <c r="G31" s="48"/>
      <c r="H31" s="48"/>
    </row>
    <row r="32" spans="1:8" ht="18" customHeight="1" x14ac:dyDescent="0.25">
      <c r="A32" s="48"/>
      <c r="B32" s="48"/>
      <c r="C32" s="48"/>
      <c r="D32" s="48"/>
      <c r="E32" s="48"/>
      <c r="F32" s="48"/>
      <c r="G32" s="48"/>
      <c r="H32" s="48"/>
    </row>
    <row r="33" spans="1:13" ht="18" customHeight="1" x14ac:dyDescent="0.25"/>
    <row r="34" spans="1:13" ht="18" customHeight="1" x14ac:dyDescent="0.25">
      <c r="A34" s="12" t="s">
        <v>20</v>
      </c>
      <c r="B34" s="12" t="s">
        <v>21</v>
      </c>
      <c r="C34" s="12" t="s">
        <v>22</v>
      </c>
      <c r="D34" s="12" t="s">
        <v>23</v>
      </c>
      <c r="E34" s="12" t="s">
        <v>7</v>
      </c>
      <c r="F34" s="12" t="s">
        <v>24</v>
      </c>
      <c r="G34" s="12" t="s">
        <v>25</v>
      </c>
      <c r="H34" s="12" t="s">
        <v>26</v>
      </c>
      <c r="I34" s="12" t="s">
        <v>27</v>
      </c>
      <c r="J34" s="12" t="s">
        <v>28</v>
      </c>
      <c r="K34" s="12" t="s">
        <v>29</v>
      </c>
      <c r="L34" s="12" t="s">
        <v>30</v>
      </c>
      <c r="M34" s="12" t="s">
        <v>31</v>
      </c>
    </row>
    <row r="35" spans="1:13" ht="18" customHeight="1" x14ac:dyDescent="0.25"/>
    <row r="36" spans="1:13" ht="18" customHeight="1" x14ac:dyDescent="0.25">
      <c r="A36" s="119" t="s">
        <v>541</v>
      </c>
      <c r="B36" s="119"/>
      <c r="C36" s="119"/>
      <c r="D36" s="119"/>
      <c r="E36" s="119"/>
      <c r="F36" s="119"/>
      <c r="G36" s="119"/>
      <c r="H36" s="119"/>
    </row>
    <row r="37" spans="1:13" ht="18" customHeight="1" x14ac:dyDescent="0.25">
      <c r="A37" s="12" t="s">
        <v>20</v>
      </c>
      <c r="B37" s="12" t="s">
        <v>21</v>
      </c>
      <c r="C37" s="12" t="s">
        <v>22</v>
      </c>
      <c r="D37" s="12" t="s">
        <v>7</v>
      </c>
      <c r="E37" s="12" t="s">
        <v>24</v>
      </c>
      <c r="F37" s="12" t="s">
        <v>29</v>
      </c>
    </row>
    <row r="38" spans="1:13" ht="18" customHeight="1" x14ac:dyDescent="0.25">
      <c r="A38" t="str" cm="1">
        <f t="array" ref="A38">IFERROR(INDEX(tblQuestions[Question ID],ROWS(tblQuestions[Question ID])-9),"")</f>
        <v>MATH001</v>
      </c>
      <c r="B38" t="str">
        <f>IF(A38="","",_xlfn.XLOOKUP(A38,tblQuestions[Question ID],tblQuestions[Subject]))</f>
        <v>Mathematics</v>
      </c>
      <c r="C38" t="str">
        <f>IF(A38="","",_xlfn.XLOOKUP(A38,tblQuestions[Question ID],tblQuestions[Topic]))</f>
        <v>Calculus</v>
      </c>
      <c r="D38" t="str">
        <f>IF(A38="","",_xlfn.XLOOKUP(A38,tblQuestions[Question ID],tblQuestions[Difficulty]))</f>
        <v>Medium</v>
      </c>
      <c r="E38" t="str">
        <f>IF(A38="","",_xlfn.XLOOKUP(A38,tblQuestions[Question ID],tblQuestions[Question]))</f>
        <v>Using substitution, evaluate the indefinite integral of 2x(x^2+1)^3.</v>
      </c>
      <c r="F38" t="str">
        <f>IF(A38="","",_xlfn.XLOOKUP(A38,tblQuestions[Question ID],tblQuestions[Correct Answer]))</f>
        <v>A</v>
      </c>
    </row>
    <row r="39" spans="1:13" ht="18" customHeight="1" x14ac:dyDescent="0.25">
      <c r="A39" t="str" cm="1">
        <f t="array" ref="A39">IFERROR(INDEX(tblQuestions[Question ID],ROWS(tblQuestions[Question ID])-8),"")</f>
        <v>MATH002</v>
      </c>
      <c r="B39" t="str">
        <f>IF(A39="","",_xlfn.XLOOKUP(A39,tblQuestions[Question ID],tblQuestions[Subject]))</f>
        <v>Mathematics</v>
      </c>
      <c r="C39" t="str">
        <f>IF(A39="","",_xlfn.XLOOKUP(A39,tblQuestions[Question ID],tblQuestions[Topic]))</f>
        <v>Calculus</v>
      </c>
      <c r="D39" t="str">
        <f>IF(A39="","",_xlfn.XLOOKUP(A39,tblQuestions[Question ID],tblQuestions[Difficulty]))</f>
        <v>Medium</v>
      </c>
      <c r="E39" t="str">
        <f>IF(A39="","",_xlfn.XLOOKUP(A39,tblQuestions[Question ID],tblQuestions[Question]))</f>
        <v>Using substitution, evaluate the indefinite integral of 2x e^(x^2).</v>
      </c>
      <c r="F39" t="str">
        <f>IF(A39="","",_xlfn.XLOOKUP(A39,tblQuestions[Question ID],tblQuestions[Correct Answer]))</f>
        <v>A</v>
      </c>
    </row>
    <row r="40" spans="1:13" ht="18" customHeight="1" x14ac:dyDescent="0.25">
      <c r="A40" t="str" cm="1">
        <f t="array" ref="A40">IFERROR(INDEX(tblQuestions[Question ID],ROWS(tblQuestions[Question ID])-7),"")</f>
        <v>MATH003</v>
      </c>
      <c r="B40" t="str">
        <f>IF(A40="","",_xlfn.XLOOKUP(A40,tblQuestions[Question ID],tblQuestions[Subject]))</f>
        <v>Mathematics</v>
      </c>
      <c r="C40" t="str">
        <f>IF(A40="","",_xlfn.XLOOKUP(A40,tblQuestions[Question ID],tblQuestions[Topic]))</f>
        <v>Calculus</v>
      </c>
      <c r="D40" t="str">
        <f>IF(A40="","",_xlfn.XLOOKUP(A40,tblQuestions[Question ID],tblQuestions[Difficulty]))</f>
        <v>Medium</v>
      </c>
      <c r="E40" t="str">
        <f>IF(A40="","",_xlfn.XLOOKUP(A40,tblQuestions[Question ID],tblQuestions[Question]))</f>
        <v>Evaluate the definite integral of 2x from 0 to 1.</v>
      </c>
      <c r="F40" t="str">
        <f>IF(A40="","",_xlfn.XLOOKUP(A40,tblQuestions[Question ID],tblQuestions[Correct Answer]))</f>
        <v>A</v>
      </c>
    </row>
    <row r="41" spans="1:13" ht="18" customHeight="1" x14ac:dyDescent="0.25">
      <c r="A41" t="str" cm="1">
        <f t="array" ref="A41">IFERROR(INDEX(tblQuestions[Question ID],ROWS(tblQuestions[Question ID])-6),"")</f>
        <v>MATH004</v>
      </c>
      <c r="B41" t="str">
        <f>IF(A41="","",_xlfn.XLOOKUP(A41,tblQuestions[Question ID],tblQuestions[Subject]))</f>
        <v>Mathematics</v>
      </c>
      <c r="C41" t="str">
        <f>IF(A41="","",_xlfn.XLOOKUP(A41,tblQuestions[Question ID],tblQuestions[Topic]))</f>
        <v>Calculus</v>
      </c>
      <c r="D41" t="str">
        <f>IF(A41="","",_xlfn.XLOOKUP(A41,tblQuestions[Question ID],tblQuestions[Difficulty]))</f>
        <v>Medium</v>
      </c>
      <c r="E41" t="str">
        <f>IF(A41="","",_xlfn.XLOOKUP(A41,tblQuestions[Question ID],tblQuestions[Question]))</f>
        <v>Evaluate the definite integral of 3x^2 from 0 to 2.</v>
      </c>
      <c r="F41" t="str">
        <f>IF(A41="","",_xlfn.XLOOKUP(A41,tblQuestions[Question ID],tblQuestions[Correct Answer]))</f>
        <v>A</v>
      </c>
    </row>
    <row r="42" spans="1:13" ht="18" customHeight="1" x14ac:dyDescent="0.25">
      <c r="A42" t="str" cm="1">
        <f t="array" ref="A42">IFERROR(INDEX(tblQuestions[Question ID],ROWS(tblQuestions[Question ID])-5),"")</f>
        <v>MATH005</v>
      </c>
      <c r="B42" t="str">
        <f>IF(A42="","",_xlfn.XLOOKUP(A42,tblQuestions[Question ID],tblQuestions[Subject]))</f>
        <v>Mathematics</v>
      </c>
      <c r="C42" t="str">
        <f>IF(A42="","",_xlfn.XLOOKUP(A42,tblQuestions[Question ID],tblQuestions[Topic]))</f>
        <v>Calculus</v>
      </c>
      <c r="D42" t="str">
        <f>IF(A42="","",_xlfn.XLOOKUP(A42,tblQuestions[Question ID],tblQuestions[Difficulty]))</f>
        <v>Medium</v>
      </c>
      <c r="E42" t="str">
        <f>IF(A42="","",_xlfn.XLOOKUP(A42,tblQuestions[Question ID],tblQuestions[Question]))</f>
        <v>Using substitution, evaluate the indefinite integral of 2x/(x^2+1).</v>
      </c>
      <c r="F42" t="str">
        <f>IF(A42="","",_xlfn.XLOOKUP(A42,tblQuestions[Question ID],tblQuestions[Correct Answer]))</f>
        <v>A</v>
      </c>
    </row>
    <row r="43" spans="1:13" ht="18" customHeight="1" x14ac:dyDescent="0.25">
      <c r="A43" t="str" cm="1">
        <f t="array" ref="A43">IFERROR(INDEX(tblQuestions[Question ID],ROWS(tblQuestions[Question ID])-4),"")</f>
        <v>MATH006</v>
      </c>
      <c r="B43" t="str">
        <f>IF(A43="","",_xlfn.XLOOKUP(A43,tblQuestions[Question ID],tblQuestions[Subject]))</f>
        <v>Mathematics</v>
      </c>
      <c r="C43" t="str">
        <f>IF(A43="","",_xlfn.XLOOKUP(A43,tblQuestions[Question ID],tblQuestions[Topic]))</f>
        <v>Calculus</v>
      </c>
      <c r="D43" t="str">
        <f>IF(A43="","",_xlfn.XLOOKUP(A43,tblQuestions[Question ID],tblQuestions[Difficulty]))</f>
        <v>Medium</v>
      </c>
      <c r="E43" t="str">
        <f>IF(A43="","",_xlfn.XLOOKUP(A43,tblQuestions[Question ID],tblQuestions[Question]))</f>
        <v>Evaluate the definite integral of 1/x from 1 to e.</v>
      </c>
      <c r="F43" t="str">
        <f>IF(A43="","",_xlfn.XLOOKUP(A43,tblQuestions[Question ID],tblQuestions[Correct Answer]))</f>
        <v>A</v>
      </c>
    </row>
    <row r="44" spans="1:13" ht="18" customHeight="1" x14ac:dyDescent="0.25">
      <c r="A44" t="str" cm="1">
        <f t="array" ref="A44">IFERROR(INDEX(tblQuestions[Question ID],ROWS(tblQuestions[Question ID])-3),"")</f>
        <v>MATH007</v>
      </c>
      <c r="B44" t="str">
        <f>IF(A44="","",_xlfn.XLOOKUP(A44,tblQuestions[Question ID],tblQuestions[Subject]))</f>
        <v>Mathematics</v>
      </c>
      <c r="C44" t="str">
        <f>IF(A44="","",_xlfn.XLOOKUP(A44,tblQuestions[Question ID],tblQuestions[Topic]))</f>
        <v>Calculus</v>
      </c>
      <c r="D44" t="str">
        <f>IF(A44="","",_xlfn.XLOOKUP(A44,tblQuestions[Question ID],tblQuestions[Difficulty]))</f>
        <v>Medium</v>
      </c>
      <c r="E44" t="str">
        <f>IF(A44="","",_xlfn.XLOOKUP(A44,tblQuestions[Question ID],tblQuestions[Question]))</f>
        <v>Using the substitution u = sin(x), evaluate the indefinite integral of sin(x)cos(x).</v>
      </c>
      <c r="F44" t="str">
        <f>IF(A44="","",_xlfn.XLOOKUP(A44,tblQuestions[Question ID],tblQuestions[Correct Answer]))</f>
        <v>A</v>
      </c>
    </row>
    <row r="45" spans="1:13" x14ac:dyDescent="0.25">
      <c r="A45" t="str" cm="1">
        <f t="array" ref="A45">IFERROR(INDEX(tblQuestions[Question ID],ROWS(tblQuestions[Question ID])-2),"")</f>
        <v>MATH008</v>
      </c>
      <c r="B45" t="str">
        <f>IF(A45="","",_xlfn.XLOOKUP(A45,tblQuestions[Question ID],tblQuestions[Subject]))</f>
        <v>Mathematics</v>
      </c>
      <c r="C45" t="str">
        <f>IF(A45="","",_xlfn.XLOOKUP(A45,tblQuestions[Question ID],tblQuestions[Topic]))</f>
        <v>Calculus</v>
      </c>
      <c r="D45" t="str">
        <f>IF(A45="","",_xlfn.XLOOKUP(A45,tblQuestions[Question ID],tblQuestions[Difficulty]))</f>
        <v>Medium</v>
      </c>
      <c r="E45" t="str">
        <f>IF(A45="","",_xlfn.XLOOKUP(A45,tblQuestions[Question ID],tblQuestions[Question]))</f>
        <v>Using substitution, evaluate the definite integral of 2x(x^2+1)^2 from 0 to 1.</v>
      </c>
      <c r="F45" t="str">
        <f>IF(A45="","",_xlfn.XLOOKUP(A45,tblQuestions[Question ID],tblQuestions[Correct Answer]))</f>
        <v>A</v>
      </c>
    </row>
    <row r="46" spans="1:13" x14ac:dyDescent="0.25">
      <c r="A46" t="str" cm="1">
        <f t="array" ref="A46">IFERROR(INDEX(tblQuestions[Question ID],ROWS(tblQuestions[Question ID])-1),"")</f>
        <v>MATH009</v>
      </c>
      <c r="B46" t="str">
        <f>IF(A46="","",_xlfn.XLOOKUP(A46,tblQuestions[Question ID],tblQuestions[Subject]))</f>
        <v>Mathematics</v>
      </c>
      <c r="C46" t="str">
        <f>IF(A46="","",_xlfn.XLOOKUP(A46,tblQuestions[Question ID],tblQuestions[Topic]))</f>
        <v>Calculus</v>
      </c>
      <c r="D46" t="str">
        <f>IF(A46="","",_xlfn.XLOOKUP(A46,tblQuestions[Question ID],tblQuestions[Difficulty]))</f>
        <v>Medium</v>
      </c>
      <c r="E46" t="str">
        <f>IF(A46="","",_xlfn.XLOOKUP(A46,tblQuestions[Question ID],tblQuestions[Question]))</f>
        <v>Using substitution, evaluate the indefinite integral of x / sqrt(x^2+1).</v>
      </c>
      <c r="F46" t="str">
        <f>IF(A46="","",_xlfn.XLOOKUP(A46,tblQuestions[Question ID],tblQuestions[Correct Answer]))</f>
        <v>A</v>
      </c>
    </row>
    <row r="47" spans="1:13" ht="18" customHeight="1" x14ac:dyDescent="0.25">
      <c r="A47" t="str" cm="1">
        <f t="array" ref="A47">IFERROR(INDEX(tblQuestions[Question ID],ROWS(tblQuestions[Question ID])-0),"")</f>
        <v>MATH010</v>
      </c>
      <c r="B47" t="str">
        <f>IF(A47="","",_xlfn.XLOOKUP(A47,tblQuestions[Question ID],tblQuestions[Subject]))</f>
        <v>Mathematics</v>
      </c>
      <c r="C47" t="str">
        <f>IF(A47="","",_xlfn.XLOOKUP(A47,tblQuestions[Question ID],tblQuestions[Topic]))</f>
        <v>Calculus</v>
      </c>
      <c r="D47" t="str">
        <f>IF(A47="","",_xlfn.XLOOKUP(A47,tblQuestions[Question ID],tblQuestions[Difficulty]))</f>
        <v>Medium</v>
      </c>
      <c r="E47" t="str">
        <f>IF(A47="","",_xlfn.XLOOKUP(A47,tblQuestions[Question ID],tblQuestions[Question]))</f>
        <v>Evaluate the definite integral of cos(x) from 0 to pi/2.</v>
      </c>
      <c r="F47" t="str">
        <f>IF(A47="","",_xlfn.XLOOKUP(A47,tblQuestions[Question ID],tblQuestions[Correct Answer]))</f>
        <v>A</v>
      </c>
    </row>
    <row r="48" spans="1:13" ht="18" customHeight="1" x14ac:dyDescent="0.25">
      <c r="A48" s="5" t="s">
        <v>19</v>
      </c>
      <c r="C48" s="5" t="s">
        <v>423</v>
      </c>
    </row>
    <row r="49" ht="18" customHeight="1" x14ac:dyDescent="0.25"/>
    <row r="50" ht="18" customHeight="1" x14ac:dyDescent="0.25"/>
    <row r="53" ht="18" customHeight="1" x14ac:dyDescent="0.25"/>
    <row r="54"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5" ht="15" customHeight="1" x14ac:dyDescent="0.25"/>
  </sheetData>
  <mergeCells count="8">
    <mergeCell ref="A31:H32"/>
    <mergeCell ref="A36:H36"/>
    <mergeCell ref="A1:H1"/>
    <mergeCell ref="A2:H2"/>
    <mergeCell ref="B11:H13"/>
    <mergeCell ref="A16:H16"/>
    <mergeCell ref="A17:H28"/>
    <mergeCell ref="A30:H30"/>
  </mergeCells>
  <dataValidations count="4">
    <dataValidation type="list" allowBlank="1" showInputMessage="1" showErrorMessage="1" sqref="B6" xr:uid="{673F5EFA-A142-416C-87F9-179AF2A23EFF}">
      <formula1>lstGenDifficulty</formula1>
    </dataValidation>
    <dataValidation type="list" allowBlank="1" showInputMessage="1" showErrorMessage="1" sqref="B7" xr:uid="{4E23284E-FEEA-4C5C-A5B6-766B943E81E0}">
      <formula1>lstGenCount</formula1>
    </dataValidation>
    <dataValidation type="list" allowBlank="1" showInputMessage="1" showErrorMessage="1" sqref="B8" xr:uid="{A10E2352-86CC-4B78-95F9-74326F39D129}">
      <formula1>lstGenType</formula1>
    </dataValidation>
    <dataValidation type="list" allowBlank="1" showInputMessage="1" showErrorMessage="1" sqref="B10" xr:uid="{B47D6B43-9C16-4A47-B9A9-9FDD45A1D146}">
      <formula1>lstGenStyle</formula1>
    </dataValidation>
  </dataValidations>
  <hyperlinks>
    <hyperlink ref="A48" location="'HOME'!A1" tooltip="Back to Home" display="← HOME" xr:uid="{E7A645FC-59D3-497D-9BDD-4B914A01FDA7}"/>
    <hyperlink ref="C48" location="'QUESTION_BANK'!A1" tooltip="Open the question bank" display="QUESTION BANK" xr:uid="{DA6EB186-3320-4CBE-9CFA-88D43F0278B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CF40B43-78F1-42B3-BBEF-0C072CD39FC9}">
          <x14:formula1>
            <xm:f>SETTINGS!$A$3:$A$11</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D4A2-FE8E-4850-A85A-C9C6103D2A94}">
  <sheetPr>
    <tabColor rgb="FF7B2D3B"/>
  </sheetPr>
  <dimension ref="A1:AB61"/>
  <sheetViews>
    <sheetView workbookViewId="0">
      <selection sqref="A1:L1"/>
    </sheetView>
  </sheetViews>
  <sheetFormatPr defaultRowHeight="15" x14ac:dyDescent="0.25"/>
  <cols>
    <col min="1" max="1" width="30.42578125" customWidth="1"/>
    <col min="2" max="2" width="22.85546875" customWidth="1"/>
    <col min="3" max="4" width="21" customWidth="1"/>
    <col min="5" max="5" width="41.85546875" customWidth="1"/>
    <col min="6" max="6" width="30.42578125" customWidth="1"/>
    <col min="7" max="12" width="13.28515625" customWidth="1"/>
    <col min="27" max="28" width="0" hidden="1" customWidth="1"/>
  </cols>
  <sheetData>
    <row r="1" spans="1:28" ht="32.1" customHeight="1" x14ac:dyDescent="0.45">
      <c r="A1" s="104" t="s">
        <v>371</v>
      </c>
      <c r="B1" s="105"/>
      <c r="C1" s="105"/>
      <c r="D1" s="105"/>
      <c r="E1" s="105"/>
      <c r="F1" s="105"/>
      <c r="G1" s="105"/>
      <c r="H1" s="105"/>
      <c r="I1" s="105"/>
      <c r="J1" s="105"/>
      <c r="K1" s="105"/>
      <c r="L1" s="105"/>
    </row>
    <row r="2" spans="1:28" x14ac:dyDescent="0.25">
      <c r="A2" s="106" t="s">
        <v>372</v>
      </c>
      <c r="B2" s="107"/>
      <c r="C2" s="107"/>
      <c r="D2" s="107"/>
      <c r="E2" s="107"/>
      <c r="F2" s="107"/>
      <c r="G2" s="107"/>
      <c r="H2" s="107"/>
      <c r="I2" s="107"/>
      <c r="J2" s="107"/>
      <c r="K2" s="107"/>
      <c r="L2" s="107"/>
    </row>
    <row r="3" spans="1:28" x14ac:dyDescent="0.25">
      <c r="A3" s="56" t="s">
        <v>19</v>
      </c>
      <c r="B3" s="48"/>
      <c r="C3" s="48"/>
      <c r="E3" s="5" t="s">
        <v>373</v>
      </c>
    </row>
    <row r="5" spans="1:28" x14ac:dyDescent="0.25">
      <c r="A5" s="78" t="s">
        <v>374</v>
      </c>
      <c r="B5" s="78"/>
      <c r="C5" s="78"/>
      <c r="D5" s="78"/>
      <c r="F5" s="52" t="s">
        <v>375</v>
      </c>
      <c r="G5" s="52"/>
      <c r="H5" s="52"/>
      <c r="I5" s="52"/>
      <c r="J5" s="52"/>
      <c r="K5" s="52"/>
      <c r="L5" s="52"/>
    </row>
    <row r="6" spans="1:28" x14ac:dyDescent="0.25">
      <c r="A6" s="17" t="s">
        <v>21</v>
      </c>
      <c r="B6" s="64" t="str">
        <f>IF(QUIZ!AA3=0,"-",QUIZ!B5)</f>
        <v>Mathematics</v>
      </c>
      <c r="C6" s="64"/>
      <c r="D6" s="64"/>
      <c r="F6" s="65" t="str">
        <f>IF(QUIZ!O6=0,"Take a quiz to see a performance message.",IF(QUIZ!O12&gt;=0.9,"Excellent! You have a strong understanding of this material.",IF(QUIZ!O12&gt;=0.75,"Very good! A little more practice can make your performance even stronger.",IF(QUIZ!O12&gt;=0.5,"Good attempt. Review the weaker areas and try another quiz.","Focus on the fundamentals and review the weak topics before attempting another quiz."))))</f>
        <v>Focus on the fundamentals and review the weak topics before attempting another quiz.</v>
      </c>
      <c r="G6" s="51"/>
      <c r="H6" s="51"/>
      <c r="I6" s="51"/>
      <c r="J6" s="51"/>
      <c r="K6" s="51"/>
      <c r="L6" s="51"/>
    </row>
    <row r="7" spans="1:28" x14ac:dyDescent="0.25">
      <c r="A7" s="17" t="s">
        <v>7</v>
      </c>
      <c r="B7" s="64" t="str">
        <f>IF(QUIZ!AA3=0,"-",QUIZ!G5)</f>
        <v>Medium</v>
      </c>
      <c r="C7" s="64"/>
      <c r="D7" s="64"/>
      <c r="F7" s="51"/>
      <c r="G7" s="51"/>
      <c r="H7" s="51"/>
      <c r="I7" s="51"/>
      <c r="J7" s="51"/>
      <c r="K7" s="51"/>
      <c r="L7" s="51"/>
    </row>
    <row r="8" spans="1:28" x14ac:dyDescent="0.25">
      <c r="A8" s="17" t="s">
        <v>356</v>
      </c>
      <c r="B8" s="64">
        <f>QUIZ!O6</f>
        <v>10</v>
      </c>
      <c r="C8" s="64"/>
      <c r="D8" s="64"/>
      <c r="F8" s="51"/>
      <c r="G8" s="51"/>
      <c r="H8" s="51"/>
      <c r="I8" s="51"/>
      <c r="J8" s="51"/>
      <c r="K8" s="51"/>
      <c r="L8" s="51"/>
    </row>
    <row r="9" spans="1:28" x14ac:dyDescent="0.25">
      <c r="A9" s="17" t="s">
        <v>361</v>
      </c>
      <c r="B9" s="66">
        <f>QUIZ!O8</f>
        <v>0</v>
      </c>
      <c r="C9" s="64"/>
      <c r="D9" s="64"/>
      <c r="F9" s="51"/>
      <c r="G9" s="51"/>
      <c r="H9" s="51"/>
      <c r="I9" s="51"/>
      <c r="J9" s="51"/>
      <c r="K9" s="51"/>
      <c r="L9" s="51"/>
      <c r="AA9" t="str">
        <f>IF(QUIZ!AA9="","",_xlfn.XLOOKUP(QUIZ!AA9,tblQuestions[Question ID],tblQuestions[Subtopic]))</f>
        <v>Integration</v>
      </c>
    </row>
    <row r="10" spans="1:28" x14ac:dyDescent="0.25">
      <c r="A10" s="17" t="s">
        <v>366</v>
      </c>
      <c r="B10" s="67">
        <f>QUIZ!O9</f>
        <v>0</v>
      </c>
      <c r="C10" s="64"/>
      <c r="D10" s="64"/>
      <c r="AA10" t="str">
        <f>IF(QUIZ!AA10="","",_xlfn.XLOOKUP(QUIZ!AA10,tblQuestions[Question ID],tblQuestions[Subtopic]))</f>
        <v>Derivatives</v>
      </c>
    </row>
    <row r="11" spans="1:28" x14ac:dyDescent="0.25">
      <c r="A11" s="17" t="s">
        <v>367</v>
      </c>
      <c r="B11" s="64">
        <f>QUIZ!O10</f>
        <v>10</v>
      </c>
      <c r="C11" s="64"/>
      <c r="D11" s="64"/>
      <c r="AA11" t="str">
        <f>IF(QUIZ!AA11="","",_xlfn.XLOOKUP(QUIZ!AA11,tblQuestions[Question ID],tblQuestions[Subtopic]))</f>
        <v>Integration</v>
      </c>
    </row>
    <row r="12" spans="1:28" x14ac:dyDescent="0.25">
      <c r="A12" s="17" t="s">
        <v>368</v>
      </c>
      <c r="B12" s="64" t="str">
        <f>QUIZ!O11</f>
        <v>0 / 10</v>
      </c>
      <c r="C12" s="64"/>
      <c r="D12" s="64"/>
      <c r="AA12" t="str">
        <f>IF(QUIZ!AA12="","",_xlfn.XLOOKUP(QUIZ!AA12,tblQuestions[Question ID],tblQuestions[Subtopic]))</f>
        <v>Integration</v>
      </c>
    </row>
    <row r="13" spans="1:28" x14ac:dyDescent="0.25">
      <c r="A13" s="17" t="s">
        <v>369</v>
      </c>
      <c r="B13" s="68">
        <f>IF(QUIZ!O6=0,"-",QUIZ!O12)</f>
        <v>0</v>
      </c>
      <c r="C13" s="68"/>
      <c r="D13" s="68"/>
      <c r="AA13" t="str">
        <f>IF(QUIZ!AA13="","",_xlfn.XLOOKUP(QUIZ!AA13,tblQuestions[Question ID],tblQuestions[Subtopic]))</f>
        <v>Integration</v>
      </c>
    </row>
    <row r="14" spans="1:28" x14ac:dyDescent="0.25">
      <c r="AA14" t="str">
        <f>IF(QUIZ!AA14="","",_xlfn.XLOOKUP(QUIZ!AA14,tblQuestions[Question ID],tblQuestions[Subtopic]))</f>
        <v>Integration</v>
      </c>
    </row>
    <row r="15" spans="1:28" x14ac:dyDescent="0.25">
      <c r="A15" s="108" t="s">
        <v>376</v>
      </c>
      <c r="B15" s="108"/>
      <c r="C15" s="108"/>
      <c r="D15" s="108"/>
      <c r="E15" s="108"/>
      <c r="F15" s="108"/>
      <c r="G15" s="108"/>
      <c r="H15" s="108"/>
      <c r="I15" s="108"/>
      <c r="J15" s="108"/>
      <c r="K15" s="108"/>
      <c r="L15" s="108"/>
      <c r="AA15" t="str">
        <f>IF(QUIZ!AA15="","",_xlfn.XLOOKUP(QUIZ!AA15,tblQuestions[Question ID],tblQuestions[Subtopic]))</f>
        <v>Integration</v>
      </c>
    </row>
    <row r="16" spans="1:28" x14ac:dyDescent="0.25">
      <c r="A16" s="109" t="s">
        <v>23</v>
      </c>
      <c r="B16" s="109" t="s">
        <v>356</v>
      </c>
      <c r="C16" s="109" t="s">
        <v>361</v>
      </c>
      <c r="D16" s="109" t="s">
        <v>369</v>
      </c>
      <c r="AA16" t="str">
        <f>IF(QUIZ!AA16="","",_xlfn.XLOOKUP(QUIZ!AA16,tblQuestions[Question ID],tblQuestions[Subtopic]))</f>
        <v>Quadratic Equations</v>
      </c>
      <c r="AB16" t="str" cm="1">
        <f t="array" ref="AB16:AB18">IFERROR(_xlfn.UNIQUE(_xlfn._xlws.FILTER(AA9:AA28,AA9:AA28&lt;&gt;"")),"")</f>
        <v>Integration</v>
      </c>
    </row>
    <row r="17" spans="1:28" x14ac:dyDescent="0.25">
      <c r="A17" t="str" cm="1">
        <f t="array" ref="A17">IFERROR(IF(INDEX(_xlfn.ANCHORARRAY($AB$16),ROW()-16)="","",INDEX(_xlfn.ANCHORARRAY($AB$16),ROW()-16)),"")</f>
        <v>Integration</v>
      </c>
      <c r="B17" s="14">
        <f t="shared" ref="B17:B28" si="0">IF(A17="","",COUNTIF($AA$9:$AA$28,A17))</f>
        <v>8</v>
      </c>
      <c r="C17" s="14" cm="1">
        <f t="array" ref="C17">IF(A17="","",SUMPRODUCT(($AA$9:$AA$28=A17)*(QUIZ!$K$9:$K$28="CORRECT")))</f>
        <v>0</v>
      </c>
      <c r="D17" s="18">
        <f t="shared" ref="D17:D28" si="1">IF(OR(A17="",B17=0),"",C17/B17)</f>
        <v>0</v>
      </c>
      <c r="AA17" t="str">
        <f>IF(QUIZ!AA17="","",_xlfn.XLOOKUP(QUIZ!AA17,tblQuestions[Question ID],tblQuestions[Subtopic]))</f>
        <v>Integration</v>
      </c>
      <c r="AB17" t="str">
        <v>Derivatives</v>
      </c>
    </row>
    <row r="18" spans="1:28" x14ac:dyDescent="0.25">
      <c r="A18" t="str" cm="1">
        <f t="array" ref="A18">IFERROR(IF(INDEX(_xlfn.ANCHORARRAY($AB$16),ROW()-16)="","",INDEX(_xlfn.ANCHORARRAY($AB$16),ROW()-16)),"")</f>
        <v>Derivatives</v>
      </c>
      <c r="B18" s="14">
        <f t="shared" si="0"/>
        <v>1</v>
      </c>
      <c r="C18" s="14" cm="1">
        <f t="array" ref="C18">IF(A18="","",SUMPRODUCT(($AA$9:$AA$28=A18)*(QUIZ!$K$9:$K$28="CORRECT")))</f>
        <v>0</v>
      </c>
      <c r="D18" s="18">
        <f t="shared" si="1"/>
        <v>0</v>
      </c>
      <c r="AA18" t="str">
        <f>IF(QUIZ!AA18="","",_xlfn.XLOOKUP(QUIZ!AA18,tblQuestions[Question ID],tblQuestions[Subtopic]))</f>
        <v>Integration</v>
      </c>
      <c r="AB18" t="str">
        <v>Quadratic Equations</v>
      </c>
    </row>
    <row r="19" spans="1:28" x14ac:dyDescent="0.25">
      <c r="A19" t="str" cm="1">
        <f t="array" ref="A19">IFERROR(IF(INDEX(_xlfn.ANCHORARRAY($AB$16),ROW()-16)="","",INDEX(_xlfn.ANCHORARRAY($AB$16),ROW()-16)),"")</f>
        <v>Quadratic Equations</v>
      </c>
      <c r="B19" s="14">
        <f t="shared" si="0"/>
        <v>1</v>
      </c>
      <c r="C19" s="14" cm="1">
        <f t="array" ref="C19">IF(A19="","",SUMPRODUCT(($AA$9:$AA$28=A19)*(QUIZ!$K$9:$K$28="CORRECT")))</f>
        <v>0</v>
      </c>
      <c r="D19" s="18">
        <f t="shared" si="1"/>
        <v>0</v>
      </c>
      <c r="AA19" t="str">
        <f>IF(QUIZ!AA19="","",_xlfn.XLOOKUP(QUIZ!AA19,tblQuestions[Question ID],tblQuestions[Subtopic]))</f>
        <v/>
      </c>
    </row>
    <row r="20" spans="1:28" x14ac:dyDescent="0.25">
      <c r="A20" t="str" cm="1">
        <f t="array" ref="A20">IFERROR(IF(INDEX(_xlfn.ANCHORARRAY($AB$16),ROW()-16)="","",INDEX(_xlfn.ANCHORARRAY($AB$16),ROW()-16)),"")</f>
        <v/>
      </c>
      <c r="B20" s="14" t="str">
        <f t="shared" si="0"/>
        <v/>
      </c>
      <c r="C20" s="14" t="str" cm="1">
        <f t="array" ref="C20">IF(A20="","",SUMPRODUCT(($AA$9:$AA$28=A20)*(QUIZ!$K$9:$K$28="CORRECT")))</f>
        <v/>
      </c>
      <c r="D20" s="18" t="str">
        <f t="shared" si="1"/>
        <v/>
      </c>
      <c r="AA20" t="str">
        <f>IF(QUIZ!AA20="","",_xlfn.XLOOKUP(QUIZ!AA20,tblQuestions[Question ID],tblQuestions[Subtopic]))</f>
        <v/>
      </c>
    </row>
    <row r="21" spans="1:28" x14ac:dyDescent="0.25">
      <c r="A21" t="str" cm="1">
        <f t="array" ref="A21">IFERROR(IF(INDEX(_xlfn.ANCHORARRAY($AB$16),ROW()-16)="","",INDEX(_xlfn.ANCHORARRAY($AB$16),ROW()-16)),"")</f>
        <v/>
      </c>
      <c r="B21" s="14" t="str">
        <f t="shared" si="0"/>
        <v/>
      </c>
      <c r="C21" s="14" t="str" cm="1">
        <f t="array" ref="C21">IF(A21="","",SUMPRODUCT(($AA$9:$AA$28=A21)*(QUIZ!$K$9:$K$28="CORRECT")))</f>
        <v/>
      </c>
      <c r="D21" s="18" t="str">
        <f t="shared" si="1"/>
        <v/>
      </c>
      <c r="AA21" t="str">
        <f>IF(QUIZ!AA21="","",_xlfn.XLOOKUP(QUIZ!AA21,tblQuestions[Question ID],tblQuestions[Subtopic]))</f>
        <v/>
      </c>
    </row>
    <row r="22" spans="1:28" x14ac:dyDescent="0.25">
      <c r="A22" t="str" cm="1">
        <f t="array" ref="A22">IFERROR(IF(INDEX(_xlfn.ANCHORARRAY($AB$16),ROW()-16)="","",INDEX(_xlfn.ANCHORARRAY($AB$16),ROW()-16)),"")</f>
        <v/>
      </c>
      <c r="B22" s="14" t="str">
        <f t="shared" si="0"/>
        <v/>
      </c>
      <c r="C22" s="14" t="str" cm="1">
        <f t="array" ref="C22">IF(A22="","",SUMPRODUCT(($AA$9:$AA$28=A22)*(QUIZ!$K$9:$K$28="CORRECT")))</f>
        <v/>
      </c>
      <c r="D22" s="18" t="str">
        <f t="shared" si="1"/>
        <v/>
      </c>
      <c r="AA22" t="str">
        <f>IF(QUIZ!AA22="","",_xlfn.XLOOKUP(QUIZ!AA22,tblQuestions[Question ID],tblQuestions[Subtopic]))</f>
        <v/>
      </c>
    </row>
    <row r="23" spans="1:28" x14ac:dyDescent="0.25">
      <c r="A23" t="str" cm="1">
        <f t="array" ref="A23">IFERROR(IF(INDEX(_xlfn.ANCHORARRAY($AB$16),ROW()-16)="","",INDEX(_xlfn.ANCHORARRAY($AB$16),ROW()-16)),"")</f>
        <v/>
      </c>
      <c r="B23" s="14" t="str">
        <f t="shared" si="0"/>
        <v/>
      </c>
      <c r="C23" s="14" t="str" cm="1">
        <f t="array" ref="C23">IF(A23="","",SUMPRODUCT(($AA$9:$AA$28=A23)*(QUIZ!$K$9:$K$28="CORRECT")))</f>
        <v/>
      </c>
      <c r="D23" s="18" t="str">
        <f t="shared" si="1"/>
        <v/>
      </c>
      <c r="AA23" t="str">
        <f>IF(QUIZ!AA23="","",_xlfn.XLOOKUP(QUIZ!AA23,tblQuestions[Question ID],tblQuestions[Subtopic]))</f>
        <v/>
      </c>
    </row>
    <row r="24" spans="1:28" x14ac:dyDescent="0.25">
      <c r="A24" t="str" cm="1">
        <f t="array" ref="A24">IFERROR(IF(INDEX(_xlfn.ANCHORARRAY($AB$16),ROW()-16)="","",INDEX(_xlfn.ANCHORARRAY($AB$16),ROW()-16)),"")</f>
        <v/>
      </c>
      <c r="B24" s="14" t="str">
        <f t="shared" si="0"/>
        <v/>
      </c>
      <c r="C24" s="14" t="str" cm="1">
        <f t="array" ref="C24">IF(A24="","",SUMPRODUCT(($AA$9:$AA$28=A24)*(QUIZ!$K$9:$K$28="CORRECT")))</f>
        <v/>
      </c>
      <c r="D24" s="18" t="str">
        <f t="shared" si="1"/>
        <v/>
      </c>
      <c r="AA24" t="str">
        <f>IF(QUIZ!AA24="","",_xlfn.XLOOKUP(QUIZ!AA24,tblQuestions[Question ID],tblQuestions[Subtopic]))</f>
        <v/>
      </c>
    </row>
    <row r="25" spans="1:28" x14ac:dyDescent="0.25">
      <c r="A25" t="str" cm="1">
        <f t="array" ref="A25">IFERROR(IF(INDEX(_xlfn.ANCHORARRAY($AB$16),ROW()-16)="","",INDEX(_xlfn.ANCHORARRAY($AB$16),ROW()-16)),"")</f>
        <v/>
      </c>
      <c r="B25" s="14" t="str">
        <f t="shared" si="0"/>
        <v/>
      </c>
      <c r="C25" s="14" t="str" cm="1">
        <f t="array" ref="C25">IF(A25="","",SUMPRODUCT(($AA$9:$AA$28=A25)*(QUIZ!$K$9:$K$28="CORRECT")))</f>
        <v/>
      </c>
      <c r="D25" s="18" t="str">
        <f t="shared" si="1"/>
        <v/>
      </c>
      <c r="AA25" t="str">
        <f>IF(QUIZ!AA25="","",_xlfn.XLOOKUP(QUIZ!AA25,tblQuestions[Question ID],tblQuestions[Subtopic]))</f>
        <v/>
      </c>
    </row>
    <row r="26" spans="1:28" x14ac:dyDescent="0.25">
      <c r="A26" t="str" cm="1">
        <f t="array" ref="A26">IFERROR(IF(INDEX(_xlfn.ANCHORARRAY($AB$16),ROW()-16)="","",INDEX(_xlfn.ANCHORARRAY($AB$16),ROW()-16)),"")</f>
        <v/>
      </c>
      <c r="B26" s="14" t="str">
        <f t="shared" si="0"/>
        <v/>
      </c>
      <c r="C26" s="14" t="str" cm="1">
        <f t="array" ref="C26">IF(A26="","",SUMPRODUCT(($AA$9:$AA$28=A26)*(QUIZ!$K$9:$K$28="CORRECT")))</f>
        <v/>
      </c>
      <c r="D26" s="18" t="str">
        <f t="shared" si="1"/>
        <v/>
      </c>
      <c r="AA26" t="str">
        <f>IF(QUIZ!AA26="","",_xlfn.XLOOKUP(QUIZ!AA26,tblQuestions[Question ID],tblQuestions[Subtopic]))</f>
        <v/>
      </c>
    </row>
    <row r="27" spans="1:28" x14ac:dyDescent="0.25">
      <c r="A27" t="str" cm="1">
        <f t="array" ref="A27">IFERROR(IF(INDEX(_xlfn.ANCHORARRAY($AB$16),ROW()-16)="","",INDEX(_xlfn.ANCHORARRAY($AB$16),ROW()-16)),"")</f>
        <v/>
      </c>
      <c r="B27" s="14" t="str">
        <f t="shared" si="0"/>
        <v/>
      </c>
      <c r="C27" s="14" t="str" cm="1">
        <f t="array" ref="C27">IF(A27="","",SUMPRODUCT(($AA$9:$AA$28=A27)*(QUIZ!$K$9:$K$28="CORRECT")))</f>
        <v/>
      </c>
      <c r="D27" s="18" t="str">
        <f t="shared" si="1"/>
        <v/>
      </c>
      <c r="AA27" t="str">
        <f>IF(QUIZ!AA27="","",_xlfn.XLOOKUP(QUIZ!AA27,tblQuestions[Question ID],tblQuestions[Subtopic]))</f>
        <v/>
      </c>
    </row>
    <row r="28" spans="1:28" x14ac:dyDescent="0.25">
      <c r="A28" t="str" cm="1">
        <f t="array" ref="A28">IFERROR(IF(INDEX(_xlfn.ANCHORARRAY($AB$16),ROW()-16)="","",INDEX(_xlfn.ANCHORARRAY($AB$16),ROW()-16)),"")</f>
        <v/>
      </c>
      <c r="B28" s="14" t="str">
        <f t="shared" si="0"/>
        <v/>
      </c>
      <c r="C28" s="14" t="str" cm="1">
        <f t="array" ref="C28">IF(A28="","",SUMPRODUCT(($AA$9:$AA$28=A28)*(QUIZ!$K$9:$K$28="CORRECT")))</f>
        <v/>
      </c>
      <c r="D28" s="18" t="str">
        <f t="shared" si="1"/>
        <v/>
      </c>
      <c r="AA28" t="str">
        <f>IF(QUIZ!AA28="","",_xlfn.XLOOKUP(QUIZ!AA28,tblQuestions[Question ID],tblQuestions[Subtopic]))</f>
        <v/>
      </c>
    </row>
    <row r="30" spans="1:28" x14ac:dyDescent="0.25">
      <c r="A30" s="9" t="s">
        <v>377</v>
      </c>
      <c r="B30" s="26" t="str" cm="1">
        <f t="array" ref="B30">IFERROR(INDEX(_xlfn.SORTBY(_xlfn._xlws.FILTER(A17:A28,B17:B28&gt;0),_xlfn._xlws.FILTER(D17:D28,B17:B28&gt;0),1),1),"-")</f>
        <v>Integration</v>
      </c>
    </row>
    <row r="31" spans="1:28" x14ac:dyDescent="0.25">
      <c r="A31" s="69" t="str">
        <f>IF(B30="-","Recommended: Complete a quiz to receive a study recommendation.",IFERROR(IF(INDEX(D17:D28,MATCH(B30,A17:A28,0))&lt;0.5,"Recommended: Review "&amp;B30&amp;" before taking another quiz.",IF(INDEX(D17:D28,MATCH(B30,A17:A28,0))&lt;0.75,"Recommended: Practice more questions from "&amp;B30&amp;".",IF(INDEX(D17:D28,MATCH(B30,A17:A28,0))&lt;0.9,"Recommended: Continue practicing "&amp;B30&amp;" to improve consistency.","Recommended: Move to a harder difficulty."))),"Recommended: Complete a quiz to receive a study recommendation."))</f>
        <v>Recommended: Review Integration before taking another quiz.</v>
      </c>
      <c r="B31" s="53"/>
      <c r="C31" s="53"/>
      <c r="D31" s="53"/>
      <c r="E31" s="53"/>
      <c r="F31" s="53"/>
      <c r="G31" s="53"/>
      <c r="H31" s="53"/>
      <c r="I31" s="53"/>
      <c r="J31" s="53"/>
      <c r="K31" s="53"/>
      <c r="L31" s="53"/>
    </row>
    <row r="32" spans="1:28" x14ac:dyDescent="0.25">
      <c r="A32" s="53"/>
      <c r="B32" s="53"/>
      <c r="C32" s="53"/>
      <c r="D32" s="53"/>
      <c r="E32" s="53"/>
      <c r="F32" s="53"/>
      <c r="G32" s="53"/>
      <c r="H32" s="53"/>
      <c r="I32" s="53"/>
      <c r="J32" s="53"/>
      <c r="K32" s="53"/>
      <c r="L32" s="53"/>
    </row>
    <row r="34" spans="1:12" x14ac:dyDescent="0.25">
      <c r="A34" s="61" t="s">
        <v>378</v>
      </c>
      <c r="B34" s="61"/>
      <c r="C34" s="61"/>
      <c r="D34" s="61"/>
      <c r="E34" s="61"/>
      <c r="F34" s="61"/>
      <c r="G34" s="61"/>
      <c r="H34" s="61"/>
      <c r="I34" s="61"/>
      <c r="J34" s="61"/>
      <c r="K34" s="61"/>
      <c r="L34" s="61"/>
    </row>
    <row r="35" spans="1:12" x14ac:dyDescent="0.25">
      <c r="A35" s="9" t="s">
        <v>24</v>
      </c>
      <c r="B35" s="9" t="s">
        <v>360</v>
      </c>
      <c r="C35" s="9" t="s">
        <v>29</v>
      </c>
      <c r="D35" s="9" t="s">
        <v>362</v>
      </c>
      <c r="E35" s="46" t="s">
        <v>30</v>
      </c>
      <c r="F35" s="46"/>
      <c r="G35" s="46"/>
      <c r="H35" s="46"/>
      <c r="I35" s="46"/>
      <c r="J35" s="46"/>
      <c r="K35" s="46"/>
      <c r="L35" s="46"/>
    </row>
    <row r="36" spans="1:12" ht="48" customHeight="1" x14ac:dyDescent="0.25">
      <c r="A36" s="2" t="str">
        <f>IF(QUIZ!AA9="","",QUIZ!B9)</f>
        <v>Using substitution, evaluate the indefinite integral of 2x(x^2+1)^3.
A. (x^2+1)^4 / 4 + C
B. (x^2+1)^3 / 3 + C
C. 2(x^2+1)^4 + C
D. x^2(x^2+1)^4 + C</v>
      </c>
      <c r="B36" t="str">
        <f>IF(QUIZ!AA9="","",IF(QUIZ!I9="","-",QUIZ!I9))</f>
        <v>-</v>
      </c>
      <c r="C36" t="str">
        <f>IF(QUIZ!AA9="","",_xlfn.XLOOKUP(QUIZ!AA9,tblQuestions[Question ID],tblQuestions[Correct Answer]))</f>
        <v>A</v>
      </c>
      <c r="D36" t="str">
        <f>IF(QUIZ!AA9="","",QUIZ!K9)</f>
        <v>NOT ANSWERED</v>
      </c>
      <c r="E36" s="47" t="str">
        <f>IF(QUIZ!AA9="","",_xlfn.XLOOKUP(QUIZ!AA9,tblQuestions[Question ID],tblQuestions[Explanation]))</f>
        <v>Let u = x^2+1, so du = 2x dx. The integral is u^4/4 + C.</v>
      </c>
      <c r="F36" s="47"/>
      <c r="G36" s="47"/>
      <c r="H36" s="47"/>
      <c r="I36" s="47"/>
      <c r="J36" s="47"/>
      <c r="K36" s="47"/>
      <c r="L36" s="47"/>
    </row>
    <row r="37" spans="1:12" ht="48" customHeight="1" x14ac:dyDescent="0.25">
      <c r="A37" s="2" t="str">
        <f>IF(QUIZ!AA10="","",QUIZ!B10)</f>
        <v>What is the derivative of sin(x)?
A. -cos(x)
B. sin(x)
C. cos(x)
D. tan(x)</v>
      </c>
      <c r="B37" t="str">
        <f>IF(QUIZ!AA10="","",IF(QUIZ!I10="","-",QUIZ!I10))</f>
        <v>-</v>
      </c>
      <c r="C37" t="str">
        <f>IF(QUIZ!AA10="","",_xlfn.XLOOKUP(QUIZ!AA10,tblQuestions[Question ID],tblQuestions[Correct Answer]))</f>
        <v>C</v>
      </c>
      <c r="D37" t="str">
        <f>IF(QUIZ!AA10="","",QUIZ!K10)</f>
        <v>NOT ANSWERED</v>
      </c>
      <c r="E37" s="47" t="str">
        <f>IF(QUIZ!AA10="","",_xlfn.XLOOKUP(QUIZ!AA10,tblQuestions[Question ID],tblQuestions[Explanation]))</f>
        <v>The derivative of sin(x) is cos(x).</v>
      </c>
      <c r="F37" s="47"/>
      <c r="G37" s="47"/>
      <c r="H37" s="47"/>
      <c r="I37" s="47"/>
      <c r="J37" s="47"/>
      <c r="K37" s="47"/>
      <c r="L37" s="47"/>
    </row>
    <row r="38" spans="1:12" ht="48" customHeight="1" x14ac:dyDescent="0.25">
      <c r="A38" s="2" t="str">
        <f>IF(QUIZ!AA11="","",QUIZ!B11)</f>
        <v>Using substitution, evaluate the indefinite integral of 2x e^(x^2).
A. e^(x^2) + C
B. 2e^(x^2) + C
C. x e^(x^2) + C
D. e^(2x) + C</v>
      </c>
      <c r="B38" t="str">
        <f>IF(QUIZ!AA11="","",IF(QUIZ!I11="","-",QUIZ!I11))</f>
        <v>-</v>
      </c>
      <c r="C38" t="str">
        <f>IF(QUIZ!AA11="","",_xlfn.XLOOKUP(QUIZ!AA11,tblQuestions[Question ID],tblQuestions[Correct Answer]))</f>
        <v>A</v>
      </c>
      <c r="D38" t="str">
        <f>IF(QUIZ!AA11="","",QUIZ!K11)</f>
        <v>NOT ANSWERED</v>
      </c>
      <c r="E38" s="47" t="str">
        <f>IF(QUIZ!AA11="","",_xlfn.XLOOKUP(QUIZ!AA11,tblQuestions[Question ID],tblQuestions[Explanation]))</f>
        <v>Let u = x^2, so du = 2x dx. The integral is e^u + C = e^(x^2) + C.</v>
      </c>
      <c r="F38" s="47"/>
      <c r="G38" s="47"/>
      <c r="H38" s="47"/>
      <c r="I38" s="47"/>
      <c r="J38" s="47"/>
      <c r="K38" s="47"/>
      <c r="L38" s="47"/>
    </row>
    <row r="39" spans="1:12" ht="48" customHeight="1" x14ac:dyDescent="0.25">
      <c r="A39" s="2" t="str">
        <f>IF(QUIZ!AA12="","",QUIZ!B12)</f>
        <v>Evaluate the definite integral of 2x from 0 to 1.
A. 1
B. 2
C. 0
D. 1/2</v>
      </c>
      <c r="B39" t="str">
        <f>IF(QUIZ!AA12="","",IF(QUIZ!I12="","-",QUIZ!I12))</f>
        <v>-</v>
      </c>
      <c r="C39" t="str">
        <f>IF(QUIZ!AA12="","",_xlfn.XLOOKUP(QUIZ!AA12,tblQuestions[Question ID],tblQuestions[Correct Answer]))</f>
        <v>A</v>
      </c>
      <c r="D39" t="str">
        <f>IF(QUIZ!AA12="","",QUIZ!K12)</f>
        <v>NOT ANSWERED</v>
      </c>
      <c r="E39" s="47" t="str">
        <f>IF(QUIZ!AA12="","",_xlfn.XLOOKUP(QUIZ!AA12,tblQuestions[Question ID],tblQuestions[Explanation]))</f>
        <v>The antiderivative is x^2. From 0 to 1 this is 1 - 0 = 1.</v>
      </c>
      <c r="F39" s="47"/>
      <c r="G39" s="47"/>
      <c r="H39" s="47"/>
      <c r="I39" s="47"/>
      <c r="J39" s="47"/>
      <c r="K39" s="47"/>
      <c r="L39" s="47"/>
    </row>
    <row r="40" spans="1:12" ht="48" customHeight="1" x14ac:dyDescent="0.25">
      <c r="A40" s="2" t="str">
        <f>IF(QUIZ!AA13="","",QUIZ!B13)</f>
        <v>What is the indefinite integral of 1/x?
A. x + C
B. 1/x² + C
C. ln|x| + C
D. e^x + C</v>
      </c>
      <c r="B40" t="str">
        <f>IF(QUIZ!AA13="","",IF(QUIZ!I13="","-",QUIZ!I13))</f>
        <v>-</v>
      </c>
      <c r="C40" t="str">
        <f>IF(QUIZ!AA13="","",_xlfn.XLOOKUP(QUIZ!AA13,tblQuestions[Question ID],tblQuestions[Correct Answer]))</f>
        <v>C</v>
      </c>
      <c r="D40" t="str">
        <f>IF(QUIZ!AA13="","",QUIZ!K13)</f>
        <v>NOT ANSWERED</v>
      </c>
      <c r="E40" s="47" t="str">
        <f>IF(QUIZ!AA13="","",_xlfn.XLOOKUP(QUIZ!AA13,tblQuestions[Question ID],tblQuestions[Explanation]))</f>
        <v>The integral of 1/x is the natural log of the absolute value of x, plus C.</v>
      </c>
      <c r="F40" s="47"/>
      <c r="G40" s="47"/>
      <c r="H40" s="47"/>
      <c r="I40" s="47"/>
      <c r="J40" s="47"/>
      <c r="K40" s="47"/>
      <c r="L40" s="47"/>
    </row>
    <row r="41" spans="1:12" ht="48" customHeight="1" x14ac:dyDescent="0.25">
      <c r="A41" s="2" t="str">
        <f>IF(QUIZ!AA14="","",QUIZ!B14)</f>
        <v>Evaluate the definite integral of 3x^2 from 0 to 2.
A. 8
B. 12
C. 4
D. 6</v>
      </c>
      <c r="B41" t="str">
        <f>IF(QUIZ!AA14="","",IF(QUIZ!I14="","-",QUIZ!I14))</f>
        <v>-</v>
      </c>
      <c r="C41" t="str">
        <f>IF(QUIZ!AA14="","",_xlfn.XLOOKUP(QUIZ!AA14,tblQuestions[Question ID],tblQuestions[Correct Answer]))</f>
        <v>A</v>
      </c>
      <c r="D41" t="str">
        <f>IF(QUIZ!AA14="","",QUIZ!K14)</f>
        <v>NOT ANSWERED</v>
      </c>
      <c r="E41" s="47" t="str">
        <f>IF(QUIZ!AA14="","",_xlfn.XLOOKUP(QUIZ!AA14,tblQuestions[Question ID],tblQuestions[Explanation]))</f>
        <v>The antiderivative is x^3. At 2 this is 8, and at 0 it is 0.</v>
      </c>
      <c r="F41" s="47"/>
      <c r="G41" s="47"/>
      <c r="H41" s="47"/>
      <c r="I41" s="47"/>
      <c r="J41" s="47"/>
      <c r="K41" s="47"/>
      <c r="L41" s="47"/>
    </row>
    <row r="42" spans="1:12" ht="48" customHeight="1" x14ac:dyDescent="0.25">
      <c r="A42" s="2" t="str">
        <f>IF(QUIZ!AA15="","",QUIZ!B15)</f>
        <v>Using substitution, evaluate the indefinite integral of 2x/(x^2+1).
A. ln|x^2+1| + C
B. 2 ln|x^2+1| + C
C. ln|2x| + C
D. arctan(x^2) + C</v>
      </c>
      <c r="B42" t="str">
        <f>IF(QUIZ!AA15="","",IF(QUIZ!I15="","-",QUIZ!I15))</f>
        <v>-</v>
      </c>
      <c r="C42" t="str">
        <f>IF(QUIZ!AA15="","",_xlfn.XLOOKUP(QUIZ!AA15,tblQuestions[Question ID],tblQuestions[Correct Answer]))</f>
        <v>A</v>
      </c>
      <c r="D42" t="str">
        <f>IF(QUIZ!AA15="","",QUIZ!K15)</f>
        <v>NOT ANSWERED</v>
      </c>
      <c r="E42" s="47" t="str">
        <f>IF(QUIZ!AA15="","",_xlfn.XLOOKUP(QUIZ!AA15,tblQuestions[Question ID],tblQuestions[Explanation]))</f>
        <v>Let u = x^2+1, so du = 2x dx. The integral is ln|u| + C.</v>
      </c>
      <c r="F42" s="47"/>
      <c r="G42" s="47"/>
      <c r="H42" s="47"/>
      <c r="I42" s="47"/>
      <c r="J42" s="47"/>
      <c r="K42" s="47"/>
      <c r="L42" s="47"/>
    </row>
    <row r="43" spans="1:12" ht="48" customHeight="1" x14ac:dyDescent="0.25">
      <c r="A43" s="2" t="str">
        <f>IF(QUIZ!AA16="","",QUIZ!B16)</f>
        <v>What are the roots of x² − 5x + 6 = 0?
A. 1 and 6
B. 2 and 3
C. −2 and −3
D. 5 and 6</v>
      </c>
      <c r="B43" t="str">
        <f>IF(QUIZ!AA16="","",IF(QUIZ!I16="","-",QUIZ!I16))</f>
        <v>-</v>
      </c>
      <c r="C43" t="str">
        <f>IF(QUIZ!AA16="","",_xlfn.XLOOKUP(QUIZ!AA16,tblQuestions[Question ID],tblQuestions[Correct Answer]))</f>
        <v>B</v>
      </c>
      <c r="D43" t="str">
        <f>IF(QUIZ!AA16="","",QUIZ!K16)</f>
        <v>NOT ANSWERED</v>
      </c>
      <c r="E43" s="47" t="str">
        <f>IF(QUIZ!AA16="","",_xlfn.XLOOKUP(QUIZ!AA16,tblQuestions[Question ID],tblQuestions[Explanation]))</f>
        <v>The quadratic factors as (x − 2)(x − 3) = 0.</v>
      </c>
      <c r="F43" s="47"/>
      <c r="G43" s="47"/>
      <c r="H43" s="47"/>
      <c r="I43" s="47"/>
      <c r="J43" s="47"/>
      <c r="K43" s="47"/>
      <c r="L43" s="47"/>
    </row>
    <row r="44" spans="1:12" ht="48" customHeight="1" x14ac:dyDescent="0.25">
      <c r="A44" s="2" t="str">
        <f>IF(QUIZ!AA17="","",QUIZ!B17)</f>
        <v>Evaluate the definite integral of 1/x from 1 to e.
A. 1
B. e
C. 0
D. e-1</v>
      </c>
      <c r="B44" t="str">
        <f>IF(QUIZ!AA17="","",IF(QUIZ!I17="","-",QUIZ!I17))</f>
        <v>-</v>
      </c>
      <c r="C44" t="str">
        <f>IF(QUIZ!AA17="","",_xlfn.XLOOKUP(QUIZ!AA17,tblQuestions[Question ID],tblQuestions[Correct Answer]))</f>
        <v>A</v>
      </c>
      <c r="D44" t="str">
        <f>IF(QUIZ!AA17="","",QUIZ!K17)</f>
        <v>NOT ANSWERED</v>
      </c>
      <c r="E44" s="47" t="str">
        <f>IF(QUIZ!AA17="","",_xlfn.XLOOKUP(QUIZ!AA17,tblQuestions[Question ID],tblQuestions[Explanation]))</f>
        <v>The antiderivative is ln|x|. ln(e) - ln(1) = 1 - 0 = 1.</v>
      </c>
      <c r="F44" s="47"/>
      <c r="G44" s="47"/>
      <c r="H44" s="47"/>
      <c r="I44" s="47"/>
      <c r="J44" s="47"/>
      <c r="K44" s="47"/>
      <c r="L44" s="47"/>
    </row>
    <row r="45" spans="1:12" ht="48" customHeight="1" x14ac:dyDescent="0.25">
      <c r="A45" s="2" t="str">
        <f>IF(QUIZ!AA18="","",QUIZ!B18)</f>
        <v>Using the substitution u = sin(x), evaluate the indefinite integral of sin(x)cos(x).
A. (1/2) sin^2(x) + C
B. sin^2(x) + C
C. cos^2(x) + C
D. negative cos(x) + C</v>
      </c>
      <c r="B45" t="str">
        <f>IF(QUIZ!AA18="","",IF(QUIZ!I18="","-",QUIZ!I18))</f>
        <v>-</v>
      </c>
      <c r="C45" t="str">
        <f>IF(QUIZ!AA18="","",_xlfn.XLOOKUP(QUIZ!AA18,tblQuestions[Question ID],tblQuestions[Correct Answer]))</f>
        <v>A</v>
      </c>
      <c r="D45" t="str">
        <f>IF(QUIZ!AA18="","",QUIZ!K18)</f>
        <v>NOT ANSWERED</v>
      </c>
      <c r="E45" s="47" t="str">
        <f>IF(QUIZ!AA18="","",_xlfn.XLOOKUP(QUIZ!AA18,tblQuestions[Question ID],tblQuestions[Explanation]))</f>
        <v>du = cos(x) dx, so the integral is u^2/2 + C = (1/2) sin^2(x) + C.</v>
      </c>
      <c r="F45" s="47"/>
      <c r="G45" s="47"/>
      <c r="H45" s="47"/>
      <c r="I45" s="47"/>
      <c r="J45" s="47"/>
      <c r="K45" s="47"/>
      <c r="L45" s="47"/>
    </row>
    <row r="46" spans="1:12" ht="48" customHeight="1" x14ac:dyDescent="0.25">
      <c r="A46" s="2" t="str">
        <f>IF(QUIZ!AA19="","",QUIZ!B19)</f>
        <v/>
      </c>
      <c r="B46" t="str">
        <f>IF(QUIZ!AA19="","",IF(QUIZ!I19="","-",QUIZ!I19))</f>
        <v/>
      </c>
      <c r="C46" t="str">
        <f>IF(QUIZ!AA19="","",_xlfn.XLOOKUP(QUIZ!AA19,tblQuestions[Question ID],tblQuestions[Correct Answer]))</f>
        <v/>
      </c>
      <c r="D46" t="str">
        <f>IF(QUIZ!AA19="","",QUIZ!K19)</f>
        <v/>
      </c>
      <c r="E46" s="47" t="str">
        <f>IF(QUIZ!AA19="","",_xlfn.XLOOKUP(QUIZ!AA19,tblQuestions[Question ID],tblQuestions[Explanation]))</f>
        <v/>
      </c>
      <c r="F46" s="47"/>
      <c r="G46" s="47"/>
      <c r="H46" s="47"/>
      <c r="I46" s="47"/>
      <c r="J46" s="47"/>
      <c r="K46" s="47"/>
      <c r="L46" s="47"/>
    </row>
    <row r="47" spans="1:12" ht="48" customHeight="1" x14ac:dyDescent="0.25">
      <c r="A47" s="2" t="str">
        <f>IF(QUIZ!AA20="","",QUIZ!B20)</f>
        <v/>
      </c>
      <c r="B47" t="str">
        <f>IF(QUIZ!AA20="","",IF(QUIZ!I20="","-",QUIZ!I20))</f>
        <v/>
      </c>
      <c r="C47" t="str">
        <f>IF(QUIZ!AA20="","",_xlfn.XLOOKUP(QUIZ!AA20,tblQuestions[Question ID],tblQuestions[Correct Answer]))</f>
        <v/>
      </c>
      <c r="D47" t="str">
        <f>IF(QUIZ!AA20="","",QUIZ!K20)</f>
        <v/>
      </c>
      <c r="E47" s="47" t="str">
        <f>IF(QUIZ!AA20="","",_xlfn.XLOOKUP(QUIZ!AA20,tblQuestions[Question ID],tblQuestions[Explanation]))</f>
        <v/>
      </c>
      <c r="F47" s="47"/>
      <c r="G47" s="47"/>
      <c r="H47" s="47"/>
      <c r="I47" s="47"/>
      <c r="J47" s="47"/>
      <c r="K47" s="47"/>
      <c r="L47" s="47"/>
    </row>
    <row r="48" spans="1:12" ht="48" customHeight="1" x14ac:dyDescent="0.25">
      <c r="A48" s="2" t="str">
        <f>IF(QUIZ!AA21="","",QUIZ!B21)</f>
        <v/>
      </c>
      <c r="B48" t="str">
        <f>IF(QUIZ!AA21="","",IF(QUIZ!I21="","-",QUIZ!I21))</f>
        <v/>
      </c>
      <c r="C48" t="str">
        <f>IF(QUIZ!AA21="","",_xlfn.XLOOKUP(QUIZ!AA21,tblQuestions[Question ID],tblQuestions[Correct Answer]))</f>
        <v/>
      </c>
      <c r="D48" t="str">
        <f>IF(QUIZ!AA21="","",QUIZ!K21)</f>
        <v/>
      </c>
      <c r="E48" s="47" t="str">
        <f>IF(QUIZ!AA21="","",_xlfn.XLOOKUP(QUIZ!AA21,tblQuestions[Question ID],tblQuestions[Explanation]))</f>
        <v/>
      </c>
      <c r="F48" s="47"/>
      <c r="G48" s="47"/>
      <c r="H48" s="47"/>
      <c r="I48" s="47"/>
      <c r="J48" s="47"/>
      <c r="K48" s="47"/>
      <c r="L48" s="47"/>
    </row>
    <row r="49" spans="1:12" ht="48" customHeight="1" x14ac:dyDescent="0.25">
      <c r="A49" s="2" t="str">
        <f>IF(QUIZ!AA22="","",QUIZ!B22)</f>
        <v/>
      </c>
      <c r="B49" t="str">
        <f>IF(QUIZ!AA22="","",IF(QUIZ!I22="","-",QUIZ!I22))</f>
        <v/>
      </c>
      <c r="C49" t="str">
        <f>IF(QUIZ!AA22="","",_xlfn.XLOOKUP(QUIZ!AA22,tblQuestions[Question ID],tblQuestions[Correct Answer]))</f>
        <v/>
      </c>
      <c r="D49" t="str">
        <f>IF(QUIZ!AA22="","",QUIZ!K22)</f>
        <v/>
      </c>
      <c r="E49" s="47" t="str">
        <f>IF(QUIZ!AA22="","",_xlfn.XLOOKUP(QUIZ!AA22,tblQuestions[Question ID],tblQuestions[Explanation]))</f>
        <v/>
      </c>
      <c r="F49" s="47"/>
      <c r="G49" s="47"/>
      <c r="H49" s="47"/>
      <c r="I49" s="47"/>
      <c r="J49" s="47"/>
      <c r="K49" s="47"/>
      <c r="L49" s="47"/>
    </row>
    <row r="50" spans="1:12" ht="48" customHeight="1" x14ac:dyDescent="0.25">
      <c r="A50" s="2" t="str">
        <f>IF(QUIZ!AA23="","",QUIZ!B23)</f>
        <v/>
      </c>
      <c r="B50" t="str">
        <f>IF(QUIZ!AA23="","",IF(QUIZ!I23="","-",QUIZ!I23))</f>
        <v/>
      </c>
      <c r="C50" t="str">
        <f>IF(QUIZ!AA23="","",_xlfn.XLOOKUP(QUIZ!AA23,tblQuestions[Question ID],tblQuestions[Correct Answer]))</f>
        <v/>
      </c>
      <c r="D50" t="str">
        <f>IF(QUIZ!AA23="","",QUIZ!K23)</f>
        <v/>
      </c>
      <c r="E50" s="47" t="str">
        <f>IF(QUIZ!AA23="","",_xlfn.XLOOKUP(QUIZ!AA23,tblQuestions[Question ID],tblQuestions[Explanation]))</f>
        <v/>
      </c>
      <c r="F50" s="47"/>
      <c r="G50" s="47"/>
      <c r="H50" s="47"/>
      <c r="I50" s="47"/>
      <c r="J50" s="47"/>
      <c r="K50" s="47"/>
      <c r="L50" s="47"/>
    </row>
    <row r="51" spans="1:12" ht="48" customHeight="1" x14ac:dyDescent="0.25">
      <c r="A51" s="2" t="str">
        <f>IF(QUIZ!AA24="","",QUIZ!B24)</f>
        <v/>
      </c>
      <c r="B51" t="str">
        <f>IF(QUIZ!AA24="","",IF(QUIZ!I24="","-",QUIZ!I24))</f>
        <v/>
      </c>
      <c r="C51" t="str">
        <f>IF(QUIZ!AA24="","",_xlfn.XLOOKUP(QUIZ!AA24,tblQuestions[Question ID],tblQuestions[Correct Answer]))</f>
        <v/>
      </c>
      <c r="D51" t="str">
        <f>IF(QUIZ!AA24="","",QUIZ!K24)</f>
        <v/>
      </c>
      <c r="E51" s="47" t="str">
        <f>IF(QUIZ!AA24="","",_xlfn.XLOOKUP(QUIZ!AA24,tblQuestions[Question ID],tblQuestions[Explanation]))</f>
        <v/>
      </c>
      <c r="F51" s="47"/>
      <c r="G51" s="47"/>
      <c r="H51" s="47"/>
      <c r="I51" s="47"/>
      <c r="J51" s="47"/>
      <c r="K51" s="47"/>
      <c r="L51" s="47"/>
    </row>
    <row r="52" spans="1:12" ht="48" customHeight="1" x14ac:dyDescent="0.25">
      <c r="A52" s="2" t="str">
        <f>IF(QUIZ!AA25="","",QUIZ!B25)</f>
        <v/>
      </c>
      <c r="B52" t="str">
        <f>IF(QUIZ!AA25="","",IF(QUIZ!I25="","-",QUIZ!I25))</f>
        <v/>
      </c>
      <c r="C52" t="str">
        <f>IF(QUIZ!AA25="","",_xlfn.XLOOKUP(QUIZ!AA25,tblQuestions[Question ID],tblQuestions[Correct Answer]))</f>
        <v/>
      </c>
      <c r="D52" t="str">
        <f>IF(QUIZ!AA25="","",QUIZ!K25)</f>
        <v/>
      </c>
      <c r="E52" s="47" t="str">
        <f>IF(QUIZ!AA25="","",_xlfn.XLOOKUP(QUIZ!AA25,tblQuestions[Question ID],tblQuestions[Explanation]))</f>
        <v/>
      </c>
      <c r="F52" s="47"/>
      <c r="G52" s="47"/>
      <c r="H52" s="47"/>
      <c r="I52" s="47"/>
      <c r="J52" s="47"/>
      <c r="K52" s="47"/>
      <c r="L52" s="47"/>
    </row>
    <row r="53" spans="1:12" ht="48" customHeight="1" x14ac:dyDescent="0.25">
      <c r="A53" s="2" t="str">
        <f>IF(QUIZ!AA26="","",QUIZ!B26)</f>
        <v/>
      </c>
      <c r="B53" t="str">
        <f>IF(QUIZ!AA26="","",IF(QUIZ!I26="","-",QUIZ!I26))</f>
        <v/>
      </c>
      <c r="C53" t="str">
        <f>IF(QUIZ!AA26="","",_xlfn.XLOOKUP(QUIZ!AA26,tblQuestions[Question ID],tblQuestions[Correct Answer]))</f>
        <v/>
      </c>
      <c r="D53" t="str">
        <f>IF(QUIZ!AA26="","",QUIZ!K26)</f>
        <v/>
      </c>
      <c r="E53" s="47" t="str">
        <f>IF(QUIZ!AA26="","",_xlfn.XLOOKUP(QUIZ!AA26,tblQuestions[Question ID],tblQuestions[Explanation]))</f>
        <v/>
      </c>
      <c r="F53" s="47"/>
      <c r="G53" s="47"/>
      <c r="H53" s="47"/>
      <c r="I53" s="47"/>
      <c r="J53" s="47"/>
      <c r="K53" s="47"/>
      <c r="L53" s="47"/>
    </row>
    <row r="54" spans="1:12" ht="48" customHeight="1" x14ac:dyDescent="0.25">
      <c r="A54" s="2" t="str">
        <f>IF(QUIZ!AA27="","",QUIZ!B27)</f>
        <v/>
      </c>
      <c r="B54" t="str">
        <f>IF(QUIZ!AA27="","",IF(QUIZ!I27="","-",QUIZ!I27))</f>
        <v/>
      </c>
      <c r="C54" t="str">
        <f>IF(QUIZ!AA27="","",_xlfn.XLOOKUP(QUIZ!AA27,tblQuestions[Question ID],tblQuestions[Correct Answer]))</f>
        <v/>
      </c>
      <c r="D54" t="str">
        <f>IF(QUIZ!AA27="","",QUIZ!K27)</f>
        <v/>
      </c>
      <c r="E54" s="47" t="str">
        <f>IF(QUIZ!AA27="","",_xlfn.XLOOKUP(QUIZ!AA27,tblQuestions[Question ID],tblQuestions[Explanation]))</f>
        <v/>
      </c>
      <c r="F54" s="47"/>
      <c r="G54" s="47"/>
      <c r="H54" s="47"/>
      <c r="I54" s="47"/>
      <c r="J54" s="47"/>
      <c r="K54" s="47"/>
      <c r="L54" s="47"/>
    </row>
    <row r="55" spans="1:12" ht="48" customHeight="1" x14ac:dyDescent="0.25">
      <c r="A55" s="2" t="str">
        <f>IF(QUIZ!AA28="","",QUIZ!B28)</f>
        <v/>
      </c>
      <c r="B55" t="str">
        <f>IF(QUIZ!AA28="","",IF(QUIZ!I28="","-",QUIZ!I28))</f>
        <v/>
      </c>
      <c r="C55" t="str">
        <f>IF(QUIZ!AA28="","",_xlfn.XLOOKUP(QUIZ!AA28,tblQuestions[Question ID],tblQuestions[Correct Answer]))</f>
        <v/>
      </c>
      <c r="D55" t="str">
        <f>IF(QUIZ!AA28="","",QUIZ!K28)</f>
        <v/>
      </c>
      <c r="E55" s="47" t="str">
        <f>IF(QUIZ!AA28="","",_xlfn.XLOOKUP(QUIZ!AA28,tblQuestions[Question ID],tblQuestions[Explanation]))</f>
        <v/>
      </c>
      <c r="F55" s="47"/>
      <c r="G55" s="47"/>
      <c r="H55" s="47"/>
      <c r="I55" s="47"/>
      <c r="J55" s="47"/>
      <c r="K55" s="47"/>
      <c r="L55" s="47"/>
    </row>
    <row r="57" spans="1:12" x14ac:dyDescent="0.25">
      <c r="A57" s="52" t="s">
        <v>379</v>
      </c>
      <c r="B57" s="52"/>
      <c r="C57" s="52"/>
      <c r="D57" s="52"/>
      <c r="E57" s="52"/>
      <c r="F57" s="52"/>
      <c r="G57" s="52"/>
      <c r="H57" s="52"/>
      <c r="I57" s="52"/>
      <c r="J57" s="52"/>
      <c r="K57" s="52"/>
      <c r="L57" s="52"/>
    </row>
    <row r="58" spans="1:12" x14ac:dyDescent="0.25">
      <c r="A58" s="47" t="s">
        <v>380</v>
      </c>
      <c r="B58" s="48"/>
      <c r="C58" s="48"/>
      <c r="D58" s="48"/>
      <c r="E58" s="48"/>
      <c r="F58" s="48"/>
      <c r="G58" s="48"/>
      <c r="H58" s="48"/>
      <c r="I58" s="48"/>
      <c r="J58" s="48"/>
      <c r="K58" s="48"/>
      <c r="L58" s="48"/>
    </row>
    <row r="59" spans="1:12" x14ac:dyDescent="0.25">
      <c r="A59" s="48"/>
      <c r="B59" s="48"/>
      <c r="C59" s="48"/>
      <c r="D59" s="48"/>
      <c r="E59" s="48"/>
      <c r="F59" s="48"/>
      <c r="G59" s="48"/>
      <c r="H59" s="48"/>
      <c r="I59" s="48"/>
      <c r="J59" s="48"/>
      <c r="K59" s="48"/>
      <c r="L59" s="48"/>
    </row>
    <row r="60" spans="1:12" x14ac:dyDescent="0.25">
      <c r="A60" s="27" t="s">
        <v>381</v>
      </c>
      <c r="B60" s="27" t="s">
        <v>382</v>
      </c>
      <c r="C60" s="27" t="s">
        <v>21</v>
      </c>
      <c r="D60" s="27" t="s">
        <v>7</v>
      </c>
      <c r="E60" s="27" t="s">
        <v>356</v>
      </c>
      <c r="F60" s="27" t="s">
        <v>361</v>
      </c>
      <c r="G60" s="27" t="s">
        <v>366</v>
      </c>
      <c r="H60" s="27" t="s">
        <v>369</v>
      </c>
      <c r="I60" s="27" t="s">
        <v>368</v>
      </c>
    </row>
    <row r="61" spans="1:12" x14ac:dyDescent="0.25">
      <c r="A61" s="28" t="str">
        <f>"A"&amp;TEXT(MAX(1,COUNTA(PROGRESS!A21:A200)),"000")</f>
        <v>A008</v>
      </c>
      <c r="B61" s="29">
        <f ca="1">TODAY()</f>
        <v>46304</v>
      </c>
      <c r="C61" s="28" t="str">
        <f>IF(QUIZ!AA3=0,"",QUIZ!B5)</f>
        <v>Mathematics</v>
      </c>
      <c r="D61" s="28" t="str">
        <f>IF(QUIZ!AA3=0,"",QUIZ!G5)</f>
        <v>Medium</v>
      </c>
      <c r="E61" s="28">
        <f>QUIZ!O6</f>
        <v>10</v>
      </c>
      <c r="F61" s="28">
        <f>QUIZ!O8</f>
        <v>0</v>
      </c>
      <c r="G61" s="28">
        <f>QUIZ!O9</f>
        <v>0</v>
      </c>
      <c r="H61" s="30">
        <f>IF(QUIZ!O6=0,"",QUIZ!O12)</f>
        <v>0</v>
      </c>
      <c r="I61" s="28" t="str">
        <f>IF(QUIZ!O6=0,"",QUIZ!O11)</f>
        <v>0 / 10</v>
      </c>
    </row>
  </sheetData>
  <mergeCells count="40">
    <mergeCell ref="A57:L57"/>
    <mergeCell ref="A58:L59"/>
    <mergeCell ref="E50:L50"/>
    <mergeCell ref="E51:L51"/>
    <mergeCell ref="E52:L52"/>
    <mergeCell ref="E53:L53"/>
    <mergeCell ref="E54:L54"/>
    <mergeCell ref="E55:L55"/>
    <mergeCell ref="E49:L49"/>
    <mergeCell ref="E38:L38"/>
    <mergeCell ref="E39:L39"/>
    <mergeCell ref="E40:L40"/>
    <mergeCell ref="E41:L41"/>
    <mergeCell ref="E42:L42"/>
    <mergeCell ref="E43:L43"/>
    <mergeCell ref="E44:L44"/>
    <mergeCell ref="E45:L45"/>
    <mergeCell ref="E46:L46"/>
    <mergeCell ref="E47:L47"/>
    <mergeCell ref="E48:L48"/>
    <mergeCell ref="E37:L37"/>
    <mergeCell ref="B8:D8"/>
    <mergeCell ref="B9:D9"/>
    <mergeCell ref="B10:D10"/>
    <mergeCell ref="B11:D11"/>
    <mergeCell ref="B12:D12"/>
    <mergeCell ref="B13:D13"/>
    <mergeCell ref="A15:L15"/>
    <mergeCell ref="A31:L32"/>
    <mergeCell ref="A34:L34"/>
    <mergeCell ref="E35:L35"/>
    <mergeCell ref="E36:L36"/>
    <mergeCell ref="B7:D7"/>
    <mergeCell ref="F5:L5"/>
    <mergeCell ref="F6:L9"/>
    <mergeCell ref="A1:L1"/>
    <mergeCell ref="A2:L2"/>
    <mergeCell ref="A3:C3"/>
    <mergeCell ref="A5:D5"/>
    <mergeCell ref="B6:D6"/>
  </mergeCells>
  <conditionalFormatting sqref="D17:D28">
    <cfRule type="expression" dxfId="8" priority="4">
      <formula>AND(D17&lt;&gt;"",D17&lt;0.6)</formula>
    </cfRule>
  </conditionalFormatting>
  <conditionalFormatting sqref="D36:D55">
    <cfRule type="expression" dxfId="7" priority="1">
      <formula>D36="CORRECT"</formula>
    </cfRule>
    <cfRule type="expression" dxfId="6" priority="2">
      <formula>D36="INCORRECT"</formula>
    </cfRule>
    <cfRule type="expression" dxfId="5" priority="3">
      <formula>D36="NOT ANSWERED"</formula>
    </cfRule>
  </conditionalFormatting>
  <hyperlinks>
    <hyperlink ref="A3" location="'HOME'!A1" tooltip="Back to Home" display="← HOME" xr:uid="{3CFC867A-B72B-4C51-AF95-BAEBF6E5B5C8}"/>
    <hyperlink ref="E3" location="'PROGRESS'!A1" tooltip="Open progress" display="→ PROGRESS" xr:uid="{429DAD50-96BD-4FA1-8DD2-A9548FD256E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4083-0927-4F0D-A6F1-6A9A056E190E}">
  <sheetPr>
    <tabColor rgb="FF9C5700"/>
  </sheetPr>
  <dimension ref="A1:AA58"/>
  <sheetViews>
    <sheetView workbookViewId="0">
      <selection activeCell="H21" sqref="H21"/>
    </sheetView>
  </sheetViews>
  <sheetFormatPr defaultRowHeight="15" x14ac:dyDescent="0.25"/>
  <cols>
    <col min="1" max="1" width="28.5703125" customWidth="1"/>
    <col min="2" max="3" width="26.7109375" customWidth="1"/>
    <col min="4" max="4" width="24.7109375" customWidth="1"/>
    <col min="5" max="8" width="21" customWidth="1"/>
    <col min="26" max="27" width="0" hidden="1" customWidth="1"/>
  </cols>
  <sheetData>
    <row r="1" spans="1:27" ht="32.1" customHeight="1" x14ac:dyDescent="0.45">
      <c r="A1" s="126" t="s">
        <v>600</v>
      </c>
      <c r="B1" s="127"/>
      <c r="C1" s="127"/>
      <c r="D1" s="127"/>
      <c r="E1" s="127"/>
      <c r="F1" s="127"/>
      <c r="G1" s="127"/>
      <c r="H1" s="127"/>
    </row>
    <row r="2" spans="1:27" x14ac:dyDescent="0.25">
      <c r="A2" s="128" t="s">
        <v>601</v>
      </c>
      <c r="B2" s="129"/>
      <c r="C2" s="129"/>
      <c r="D2" s="129"/>
      <c r="E2" s="129"/>
      <c r="F2" s="129"/>
      <c r="G2" s="129"/>
      <c r="H2" s="129"/>
      <c r="Z2" t="s">
        <v>2</v>
      </c>
      <c r="AA2" t="s">
        <v>529</v>
      </c>
    </row>
    <row r="3" spans="1:27" x14ac:dyDescent="0.25">
      <c r="A3" s="5" t="s">
        <v>19</v>
      </c>
      <c r="C3" s="5" t="s">
        <v>426</v>
      </c>
      <c r="E3" s="5" t="s">
        <v>516</v>
      </c>
      <c r="Z3" t="s">
        <v>3</v>
      </c>
      <c r="AA3" t="s">
        <v>530</v>
      </c>
    </row>
    <row r="4" spans="1:27" x14ac:dyDescent="0.25">
      <c r="Z4" t="s">
        <v>4</v>
      </c>
      <c r="AA4" t="s">
        <v>531</v>
      </c>
    </row>
    <row r="5" spans="1:27" x14ac:dyDescent="0.25">
      <c r="A5" s="130" t="s">
        <v>602</v>
      </c>
      <c r="B5" s="130"/>
      <c r="C5" s="130"/>
      <c r="D5" s="130"/>
      <c r="E5" s="130"/>
      <c r="F5" s="130"/>
      <c r="G5" s="130"/>
      <c r="H5" s="130"/>
      <c r="Z5" t="s">
        <v>5</v>
      </c>
      <c r="AA5" t="s">
        <v>532</v>
      </c>
    </row>
    <row r="6" spans="1:27" x14ac:dyDescent="0.25">
      <c r="A6" s="10" t="s">
        <v>21</v>
      </c>
      <c r="B6" s="10" t="s">
        <v>22</v>
      </c>
      <c r="C6" s="10" t="s">
        <v>23</v>
      </c>
      <c r="D6" s="10" t="s">
        <v>412</v>
      </c>
      <c r="E6" s="10" t="s">
        <v>361</v>
      </c>
      <c r="F6" s="10" t="s">
        <v>369</v>
      </c>
      <c r="G6" s="10" t="s">
        <v>603</v>
      </c>
      <c r="H6" s="10" t="s">
        <v>604</v>
      </c>
      <c r="Z6" t="s">
        <v>6</v>
      </c>
      <c r="AA6" t="s">
        <v>533</v>
      </c>
    </row>
    <row r="7" spans="1:27" x14ac:dyDescent="0.25">
      <c r="A7" t="str">
        <f>IF(C7="","",IFERROR(INDEX(tblQuestions[Subject],MATCH(C7,tblQuestions[Subtopic],0)),QUIZ!B5))</f>
        <v>Mathematics</v>
      </c>
      <c r="B7" t="str">
        <f>IF(C7="","",IFERROR(INDEX(tblQuestions[Topic],MATCH(C7,tblQuestions[Subtopic],0)),""))</f>
        <v>Calculus</v>
      </c>
      <c r="C7" t="str">
        <f>IF(RESULTS!A17="","",RESULTS!A17)</f>
        <v>Integration</v>
      </c>
      <c r="D7" s="14">
        <f>IF(C7="","",RESULTS!B17)</f>
        <v>8</v>
      </c>
      <c r="E7" s="14">
        <f>IF(C7="","",RESULTS!C17)</f>
        <v>0</v>
      </c>
      <c r="F7" s="18">
        <f t="shared" ref="F7:F18" si="0">IF(OR(C7="",D7=0),"",E7/D7)</f>
        <v>0</v>
      </c>
      <c r="G7" s="14" t="str">
        <f t="shared" ref="G7:G18" si="1">IF(C7="","",IF(D7&lt;5,"Limited sample",IF(F7&gt;=0.8,"Strong",IF(F7&gt;=0.6,"Needs Practice","Weak"))))</f>
        <v>Weak</v>
      </c>
      <c r="H7" s="14" t="str">
        <f t="shared" ref="H7:H18" si="2">IF(C7="","",IF(D7&lt;5,"Watch",IF(F7&lt;0.5,"HIGH",IF(F7&lt;0.7,"MEDIUM-HIGH",IF(F7&lt;0.8,"MEDIUM","LOW")))))</f>
        <v>HIGH</v>
      </c>
      <c r="Z7" t="s">
        <v>501</v>
      </c>
      <c r="AA7" t="s">
        <v>534</v>
      </c>
    </row>
    <row r="8" spans="1:27" x14ac:dyDescent="0.25">
      <c r="A8" t="str">
        <f>IF(C8="","",IFERROR(INDEX(tblQuestions[Subject],MATCH(C8,tblQuestions[Subtopic],0)),QUIZ!B5))</f>
        <v>Mathematics</v>
      </c>
      <c r="B8" t="str">
        <f>IF(C8="","",IFERROR(INDEX(tblQuestions[Topic],MATCH(C8,tblQuestions[Subtopic],0)),""))</f>
        <v>Calculus</v>
      </c>
      <c r="C8" t="str">
        <f>IF(RESULTS!A18="","",RESULTS!A18)</f>
        <v>Derivatives</v>
      </c>
      <c r="D8" s="14">
        <f>IF(C8="","",RESULTS!B18)</f>
        <v>1</v>
      </c>
      <c r="E8" s="14">
        <f>IF(C8="","",RESULTS!C18)</f>
        <v>0</v>
      </c>
      <c r="F8" s="18">
        <f t="shared" si="0"/>
        <v>0</v>
      </c>
      <c r="G8" s="14" t="str">
        <f t="shared" si="1"/>
        <v>Limited sample</v>
      </c>
      <c r="H8" s="14" t="str">
        <f t="shared" si="2"/>
        <v>Watch</v>
      </c>
      <c r="Z8" t="s">
        <v>502</v>
      </c>
      <c r="AA8" t="s">
        <v>535</v>
      </c>
    </row>
    <row r="9" spans="1:27" x14ac:dyDescent="0.25">
      <c r="A9" t="str">
        <f>IF(C9="","",IFERROR(INDEX(tblQuestions[Subject],MATCH(C9,tblQuestions[Subtopic],0)),QUIZ!B5))</f>
        <v>Mathematics</v>
      </c>
      <c r="B9" t="str">
        <f>IF(C9="","",IFERROR(INDEX(tblQuestions[Topic],MATCH(C9,tblQuestions[Subtopic],0)),""))</f>
        <v>Algebra</v>
      </c>
      <c r="C9" t="str">
        <f>IF(RESULTS!A19="","",RESULTS!A19)</f>
        <v>Quadratic Equations</v>
      </c>
      <c r="D9" s="14">
        <f>IF(C9="","",RESULTS!B19)</f>
        <v>1</v>
      </c>
      <c r="E9" s="14">
        <f>IF(C9="","",RESULTS!C19)</f>
        <v>0</v>
      </c>
      <c r="F9" s="18">
        <f t="shared" si="0"/>
        <v>0</v>
      </c>
      <c r="G9" s="14" t="str">
        <f t="shared" si="1"/>
        <v>Limited sample</v>
      </c>
      <c r="H9" s="14" t="str">
        <f t="shared" si="2"/>
        <v>Watch</v>
      </c>
      <c r="Z9" t="s">
        <v>503</v>
      </c>
      <c r="AA9" t="s">
        <v>536</v>
      </c>
    </row>
    <row r="10" spans="1:27" x14ac:dyDescent="0.25">
      <c r="A10" t="str">
        <f>IF(C10="","",IFERROR(INDEX(tblQuestions[Subject],MATCH(C10,tblQuestions[Subtopic],0)),QUIZ!B5))</f>
        <v/>
      </c>
      <c r="B10" t="str">
        <f>IF(C10="","",IFERROR(INDEX(tblQuestions[Topic],MATCH(C10,tblQuestions[Subtopic],0)),""))</f>
        <v/>
      </c>
      <c r="C10" t="str">
        <f>IF(RESULTS!A20="","",RESULTS!A20)</f>
        <v/>
      </c>
      <c r="D10" s="14" t="str">
        <f>IF(C10="","",RESULTS!B20)</f>
        <v/>
      </c>
      <c r="E10" s="14" t="str">
        <f>IF(C10="","",RESULTS!C20)</f>
        <v/>
      </c>
      <c r="F10" s="18" t="str">
        <f t="shared" si="0"/>
        <v/>
      </c>
      <c r="G10" s="14" t="str">
        <f t="shared" si="1"/>
        <v/>
      </c>
      <c r="H10" s="14" t="str">
        <f t="shared" si="2"/>
        <v/>
      </c>
      <c r="Z10" t="s">
        <v>504</v>
      </c>
      <c r="AA10" t="s">
        <v>537</v>
      </c>
    </row>
    <row r="11" spans="1:27" x14ac:dyDescent="0.25">
      <c r="A11" t="str">
        <f>IF(C11="","",IFERROR(INDEX(tblQuestions[Subject],MATCH(C11,tblQuestions[Subtopic],0)),QUIZ!B5))</f>
        <v/>
      </c>
      <c r="B11" t="str">
        <f>IF(C11="","",IFERROR(INDEX(tblQuestions[Topic],MATCH(C11,tblQuestions[Subtopic],0)),""))</f>
        <v/>
      </c>
      <c r="C11" t="str">
        <f>IF(RESULTS!A21="","",RESULTS!A21)</f>
        <v/>
      </c>
      <c r="D11" s="14" t="str">
        <f>IF(C11="","",RESULTS!B21)</f>
        <v/>
      </c>
      <c r="E11" s="14" t="str">
        <f>IF(C11="","",RESULTS!C21)</f>
        <v/>
      </c>
      <c r="F11" s="18" t="str">
        <f t="shared" si="0"/>
        <v/>
      </c>
      <c r="G11" s="14" t="str">
        <f t="shared" si="1"/>
        <v/>
      </c>
      <c r="H11" s="14" t="str">
        <f t="shared" si="2"/>
        <v/>
      </c>
    </row>
    <row r="12" spans="1:27" x14ac:dyDescent="0.25">
      <c r="A12" t="str">
        <f>IF(C12="","",IFERROR(INDEX(tblQuestions[Subject],MATCH(C12,tblQuestions[Subtopic],0)),QUIZ!B5))</f>
        <v/>
      </c>
      <c r="B12" t="str">
        <f>IF(C12="","",IFERROR(INDEX(tblQuestions[Topic],MATCH(C12,tblQuestions[Subtopic],0)),""))</f>
        <v/>
      </c>
      <c r="C12" t="str">
        <f>IF(RESULTS!A22="","",RESULTS!A22)</f>
        <v/>
      </c>
      <c r="D12" s="14" t="str">
        <f>IF(C12="","",RESULTS!B22)</f>
        <v/>
      </c>
      <c r="E12" s="14" t="str">
        <f>IF(C12="","",RESULTS!C22)</f>
        <v/>
      </c>
      <c r="F12" s="18" t="str">
        <f t="shared" si="0"/>
        <v/>
      </c>
      <c r="G12" s="14" t="str">
        <f t="shared" si="1"/>
        <v/>
      </c>
      <c r="H12" s="14" t="str">
        <f t="shared" si="2"/>
        <v/>
      </c>
    </row>
    <row r="13" spans="1:27" x14ac:dyDescent="0.25">
      <c r="A13" t="str">
        <f>IF(C13="","",IFERROR(INDEX(tblQuestions[Subject],MATCH(C13,tblQuestions[Subtopic],0)),QUIZ!B5))</f>
        <v/>
      </c>
      <c r="B13" t="str">
        <f>IF(C13="","",IFERROR(INDEX(tblQuestions[Topic],MATCH(C13,tblQuestions[Subtopic],0)),""))</f>
        <v/>
      </c>
      <c r="C13" t="str">
        <f>IF(RESULTS!A23="","",RESULTS!A23)</f>
        <v/>
      </c>
      <c r="D13" s="14" t="str">
        <f>IF(C13="","",RESULTS!B23)</f>
        <v/>
      </c>
      <c r="E13" s="14" t="str">
        <f>IF(C13="","",RESULTS!C23)</f>
        <v/>
      </c>
      <c r="F13" s="18" t="str">
        <f t="shared" si="0"/>
        <v/>
      </c>
      <c r="G13" s="14" t="str">
        <f t="shared" si="1"/>
        <v/>
      </c>
      <c r="H13" s="14" t="str">
        <f t="shared" si="2"/>
        <v/>
      </c>
    </row>
    <row r="14" spans="1:27" x14ac:dyDescent="0.25">
      <c r="A14" t="str">
        <f>IF(C14="","",IFERROR(INDEX(tblQuestions[Subject],MATCH(C14,tblQuestions[Subtopic],0)),QUIZ!B5))</f>
        <v/>
      </c>
      <c r="B14" t="str">
        <f>IF(C14="","",IFERROR(INDEX(tblQuestions[Topic],MATCH(C14,tblQuestions[Subtopic],0)),""))</f>
        <v/>
      </c>
      <c r="C14" t="str">
        <f>IF(RESULTS!A24="","",RESULTS!A24)</f>
        <v/>
      </c>
      <c r="D14" s="14" t="str">
        <f>IF(C14="","",RESULTS!B24)</f>
        <v/>
      </c>
      <c r="E14" s="14" t="str">
        <f>IF(C14="","",RESULTS!C24)</f>
        <v/>
      </c>
      <c r="F14" s="18" t="str">
        <f t="shared" si="0"/>
        <v/>
      </c>
      <c r="G14" s="14" t="str">
        <f t="shared" si="1"/>
        <v/>
      </c>
      <c r="H14" s="14" t="str">
        <f t="shared" si="2"/>
        <v/>
      </c>
    </row>
    <row r="15" spans="1:27" x14ac:dyDescent="0.25">
      <c r="A15" t="str">
        <f>IF(C15="","",IFERROR(INDEX(tblQuestions[Subject],MATCH(C15,tblQuestions[Subtopic],0)),QUIZ!B5))</f>
        <v/>
      </c>
      <c r="B15" t="str">
        <f>IF(C15="","",IFERROR(INDEX(tblQuestions[Topic],MATCH(C15,tblQuestions[Subtopic],0)),""))</f>
        <v/>
      </c>
      <c r="C15" t="str">
        <f>IF(RESULTS!A25="","",RESULTS!A25)</f>
        <v/>
      </c>
      <c r="D15" s="14" t="str">
        <f>IF(C15="","",RESULTS!B25)</f>
        <v/>
      </c>
      <c r="E15" s="14" t="str">
        <f>IF(C15="","",RESULTS!C25)</f>
        <v/>
      </c>
      <c r="F15" s="18" t="str">
        <f t="shared" si="0"/>
        <v/>
      </c>
      <c r="G15" s="14" t="str">
        <f t="shared" si="1"/>
        <v/>
      </c>
      <c r="H15" s="14" t="str">
        <f t="shared" si="2"/>
        <v/>
      </c>
    </row>
    <row r="16" spans="1:27" x14ac:dyDescent="0.25">
      <c r="A16" t="str">
        <f>IF(C16="","",IFERROR(INDEX(tblQuestions[Subject],MATCH(C16,tblQuestions[Subtopic],0)),QUIZ!B5))</f>
        <v/>
      </c>
      <c r="B16" t="str">
        <f>IF(C16="","",IFERROR(INDEX(tblQuestions[Topic],MATCH(C16,tblQuestions[Subtopic],0)),""))</f>
        <v/>
      </c>
      <c r="C16" t="str">
        <f>IF(RESULTS!A26="","",RESULTS!A26)</f>
        <v/>
      </c>
      <c r="D16" s="14" t="str">
        <f>IF(C16="","",RESULTS!B26)</f>
        <v/>
      </c>
      <c r="E16" s="14" t="str">
        <f>IF(C16="","",RESULTS!C26)</f>
        <v/>
      </c>
      <c r="F16" s="18" t="str">
        <f t="shared" si="0"/>
        <v/>
      </c>
      <c r="G16" s="14" t="str">
        <f t="shared" si="1"/>
        <v/>
      </c>
      <c r="H16" s="14" t="str">
        <f t="shared" si="2"/>
        <v/>
      </c>
    </row>
    <row r="17" spans="1:8" x14ac:dyDescent="0.25">
      <c r="A17" t="str">
        <f>IF(C17="","",IFERROR(INDEX(tblQuestions[Subject],MATCH(C17,tblQuestions[Subtopic],0)),QUIZ!B5))</f>
        <v/>
      </c>
      <c r="B17" t="str">
        <f>IF(C17="","",IFERROR(INDEX(tblQuestions[Topic],MATCH(C17,tblQuestions[Subtopic],0)),""))</f>
        <v/>
      </c>
      <c r="C17" t="str">
        <f>IF(RESULTS!A27="","",RESULTS!A27)</f>
        <v/>
      </c>
      <c r="D17" s="14" t="str">
        <f>IF(C17="","",RESULTS!B27)</f>
        <v/>
      </c>
      <c r="E17" s="14" t="str">
        <f>IF(C17="","",RESULTS!C27)</f>
        <v/>
      </c>
      <c r="F17" s="18" t="str">
        <f t="shared" si="0"/>
        <v/>
      </c>
      <c r="G17" s="14" t="str">
        <f t="shared" si="1"/>
        <v/>
      </c>
      <c r="H17" s="14" t="str">
        <f t="shared" si="2"/>
        <v/>
      </c>
    </row>
    <row r="18" spans="1:8" x14ac:dyDescent="0.25">
      <c r="A18" t="str">
        <f>IF(C18="","",IFERROR(INDEX(tblQuestions[Subject],MATCH(C18,tblQuestions[Subtopic],0)),QUIZ!B5))</f>
        <v/>
      </c>
      <c r="B18" t="str">
        <f>IF(C18="","",IFERROR(INDEX(tblQuestions[Topic],MATCH(C18,tblQuestions[Subtopic],0)),""))</f>
        <v/>
      </c>
      <c r="C18" t="str">
        <f>IF(RESULTS!A28="","",RESULTS!A28)</f>
        <v/>
      </c>
      <c r="D18" s="14" t="str">
        <f>IF(C18="","",RESULTS!B28)</f>
        <v/>
      </c>
      <c r="E18" s="14" t="str">
        <f>IF(C18="","",RESULTS!C28)</f>
        <v/>
      </c>
      <c r="F18" s="18" t="str">
        <f t="shared" si="0"/>
        <v/>
      </c>
      <c r="G18" s="14" t="str">
        <f t="shared" si="1"/>
        <v/>
      </c>
      <c r="H18" s="14" t="str">
        <f t="shared" si="2"/>
        <v/>
      </c>
    </row>
    <row r="20" spans="1:8" x14ac:dyDescent="0.25">
      <c r="A20" s="17" t="s">
        <v>605</v>
      </c>
      <c r="B20" s="26" t="str" cm="1">
        <f t="array" ref="B20">IFERROR(INDEX(_xlfn.SORTBY(_xlfn._xlws.FILTER(C7:C18,(D7:D18&gt;=5)*(C7:C18&lt;&gt;"")),_xlfn._xlws.FILTER(F7:F18,(D7:D18&gt;=5)*(C7:C18&lt;&gt;""))),1),IFERROR(INDEX(_xlfn.SORTBY(_xlfn._xlws.FILTER(C7:C18,D7:D18&gt;0),_xlfn._xlws.FILTER(F7:F18,D7:D18&gt;0)),1),"-"))</f>
        <v>Integration</v>
      </c>
    </row>
    <row r="21" spans="1:8" x14ac:dyDescent="0.25">
      <c r="A21" s="17" t="s">
        <v>606</v>
      </c>
      <c r="B21" s="26" t="str">
        <f>IF(B20="-","-",IFERROR(INDEX(B7:B18,MATCH(B20,C7:C18,0)),"-"))</f>
        <v>Calculus</v>
      </c>
    </row>
    <row r="22" spans="1:8" x14ac:dyDescent="0.25">
      <c r="A22" s="17" t="s">
        <v>369</v>
      </c>
      <c r="B22" s="42">
        <f>IF(B20="-","-",IFERROR(INDEX(F7:F18,MATCH(B20,C7:C18,0)),"-"))</f>
        <v>0</v>
      </c>
    </row>
    <row r="23" spans="1:8" x14ac:dyDescent="0.25">
      <c r="A23" s="17" t="s">
        <v>607</v>
      </c>
      <c r="B23" s="48" t="str">
        <f>IF(B20="-","Answer a quiz to identify a weak topic.",IF(INDEX(D7:D18,MATCH(B20,C7:C18,0))&lt;5,"Lowest accuracy so far, but fewer than 5 questions. Treat this as a watch item.","Lowest accuracy among topics with at least 5 attempted questions."))</f>
        <v>Lowest accuracy among topics with at least 5 attempted questions.</v>
      </c>
      <c r="C23" s="48"/>
      <c r="D23" s="48"/>
      <c r="E23" s="48"/>
      <c r="F23" s="48"/>
      <c r="G23" s="48"/>
      <c r="H23" s="48"/>
    </row>
    <row r="25" spans="1:8" x14ac:dyDescent="0.25">
      <c r="A25" t="s">
        <v>608</v>
      </c>
      <c r="B25" s="39">
        <v>10</v>
      </c>
    </row>
    <row r="26" spans="1:8" x14ac:dyDescent="0.25">
      <c r="A26" t="s">
        <v>7</v>
      </c>
      <c r="B26" s="39" t="s">
        <v>10</v>
      </c>
    </row>
    <row r="27" spans="1:8" x14ac:dyDescent="0.25">
      <c r="A27" t="s">
        <v>609</v>
      </c>
      <c r="B27" s="39" t="str" cm="1">
        <f t="array" ref="B27">_xlfn.LET(_xlpm.subj,IF(B20="-","",IFERROR(INDEX(A7:A18,MATCH(B20,C7:C18,0)),"")), _xlpm.pfx,IF(_xlpm.subj="","OTH",IFERROR(_xlfn.XLOOKUP(_xlpm.subj,$Z$2:$Z$10,$AA$2:$AA$10),UPPER(LEFT(SUBSTITUTE(_xlpm.subj," ",""),3)))), _xlpm.n,IFERROR(MAX(VALUE(RIGHT(_xlfn._xlws.FILTER(tblQuestions[Question ID],LEFT(tblQuestions[Question ID],LEN(_xlpm.pfx))=_xlpm.pfx),3))),0)+1, _xlpm.pfx&amp;TEXT(_xlpm.n,"000"))</f>
        <v>MATH011</v>
      </c>
    </row>
    <row r="29" spans="1:8" x14ac:dyDescent="0.25">
      <c r="A29" s="125" t="s">
        <v>610</v>
      </c>
      <c r="B29" s="125"/>
      <c r="C29" s="125"/>
      <c r="D29" s="125"/>
      <c r="E29" s="125"/>
      <c r="F29" s="125"/>
      <c r="G29" s="125"/>
      <c r="H29" s="125"/>
    </row>
    <row r="30" spans="1:8" ht="18" customHeight="1" x14ac:dyDescent="0.25">
      <c r="A30" s="50" t="str" cm="1">
        <f t="array" ref="A30">IF(B20="-","Answer the current quiz first. Weak topics appear after questions are scored.",_xlfn.CONCAT("Generate new questions for my Excel AI Study Assistant.",CHAR(10),CHAR(10),"WEAK TOPIC: ",B21," → ",B20,CHAR(10),"Subject: ",IFERROR(INDEX(A7:A18,MATCH(B20,C7:C18,0)),""),CHAR(10),"Topic: ",B21,CHAR(10),"Subtopic: ",B20,CHAR(10),"Current accuracy: ",TEXT(B22,"0.0%"),CHAR(10),"Difficulty: ",B26,CHAR(10),"Number of questions: ",B25,CHAR(10),"Starting Question ID: ",B27,CHAR(10),CHAR(10),"CRITICAL INSTRUCTIONS",CHAR(10),"1. Generate exactly ",B25," new multiple-choice questions on ",B20," only.",CHAR(10),"2. Every question needs exactly four options, A B C D, and exactly one correct answer.",CHAR(10),"3. Provide a short explanation. Keep questions factually accurate and at ",B26," difficulty.",CHAR(10),"4. Do not repeat or closely reword questions already in the bank for this subtopic.",CHAR(10),"5. Make incorrect options plausible. Verify any calculation independently.",CHAR(10),"6. Do not put the answer in the question text, and do not number the questions.",CHAR(10),"7. Use Question IDs starting at ",B27," and increasing by 1. Do not reuse an existing ID.",CHAR(10),"8. Set Active to Yes. Return ONLY tab-separated rows, no Markdown, headings, or commentary.",CHAR(10),CHAR(10),"Columns in order: Question ID, Subject, Topic, Subtopic, Difficulty, Question, Option A, Option B, Option C, Option D, Correct Answer, Explanation, Active",CHAR(10),CHAR(10),"EXISTING IDS: ",_xlfn.TEXTJOIN(", ",TRUE,tblQuestions[Question ID]),CHAR(10),CHAR(10),"EXISTING QUESTIONS ON THIS SUBTOPIC:",CHAR(10),IFERROR(_xlfn.TEXTJOIN(CHAR(10),TRUE,_xlfn._xlws.FILTER(tblQuestions[Question ID]&amp;" | "&amp;tblQuestions[Question],tblQuestions[Subtopic]=B20)),"None yet.")))</f>
        <v>Generate new questions for my Excel AI Study Assistant.
WEAK TOPIC: Calculus → Integration
Subject: Mathematics
Topic: Calculus
Subtopic: Integration
Current accuracy: 0.0%
Difficulty: Medium
Number of questions: 10
Starting Question ID: MATH011
CRITICAL INSTRUCTIONS
1. Generate exactly 10 new multiple-choice questions on Integration only.
2. Every question needs exactly four options, A B C D, and exactly one correct answer.
3. Provide a short explanation. Keep questions factually accurate and at Medium difficulty.
4. Do not repeat or closely reword questions already in the bank for this subtopic.
5. Make incorrect options plausible. Verify any calculation independently.
6. Do not put the answer in the question text, and do not number the questions.
7. Use Question IDs starting at MATH011 and increasing by 1. Do not reuse an existing ID.
8. Set Active to Yes. Return ONLY tab-separated rows, no Markdown, headings, or commentary.
Columns in order: Question ID, Subject, Topic, Subtopic, Difficulty, Question, Option A, Option B, Option C, Option D, Correct Answer, Explanation, Active
EXISTING IDS: Q001, Q002, Q003, Q004, Q005, Q006, Q007, Q008, Q009, Q010, Q011, Q012, Q013, Q014, Q015, Q016, Q017, Q018, Q019, Q020, Q021, Q022, Q023, Q024, Q025, Q026, Q027, Q028, Q029, Q030, Q031, Q032, Q033, Q034, Q035, Q036, Q037, Q038, Q039, Q040, Q041, Q042, Q043, Q044, Q045, Q046, Q047, Q048, Q049, MATH001, MATH002, MATH003, MATH004, MATH005, MATH006, MATH007, MATH008, MATH009, MATH010
EXISTING QUESTIONS ON THIS SUBTOPIC:
Q003 | What is the indefinite integral of 2x?
Q004 | What is the indefinite integral of 1/x?
MATH001 | Using substitution, evaluate the indefinite integral of 2x(x^2+1)^3.
MATH002 | Using substitution, evaluate the indefinite integral of 2x e^(x^2).
MATH003 | Evaluate the definite integral of 2x from 0 to 1.
MATH004 | Evaluate the definite integral of 3x^2 from 0 to 2.
MATH005 | Using substitution, evaluate the indefinite integral of 2x/(x^2+1).
MATH006 | Evaluate the definite integral of 1/x from 1 to e.
MATH007 | Using the substitution u = sin(x), evaluate the indefinite integral of sin(x)cos(x).
MATH008 | Using substitution, evaluate the definite integral of 2x(x^2+1)^2 from 0 to 1.
MATH009 | Using substitution, evaluate the indefinite integral of x / sqrt(x^2+1).
MATH010 | Evaluate the definite integral of cos(x) from 0 to pi/2.</v>
      </c>
      <c r="B30" s="51"/>
      <c r="C30" s="51"/>
      <c r="D30" s="51"/>
      <c r="E30" s="51"/>
      <c r="F30" s="51"/>
      <c r="G30" s="51"/>
      <c r="H30" s="51"/>
    </row>
    <row r="31" spans="1:8" ht="18" customHeight="1" x14ac:dyDescent="0.25">
      <c r="A31" s="51"/>
      <c r="B31" s="51"/>
      <c r="C31" s="51"/>
      <c r="D31" s="51"/>
      <c r="E31" s="51"/>
      <c r="F31" s="51"/>
      <c r="G31" s="51"/>
      <c r="H31" s="51"/>
    </row>
    <row r="32" spans="1:8" ht="18" customHeight="1" x14ac:dyDescent="0.25">
      <c r="A32" s="51"/>
      <c r="B32" s="51"/>
      <c r="C32" s="51"/>
      <c r="D32" s="51"/>
      <c r="E32" s="51"/>
      <c r="F32" s="51"/>
      <c r="G32" s="51"/>
      <c r="H32" s="51"/>
    </row>
    <row r="33" spans="1:8" ht="18" customHeight="1" x14ac:dyDescent="0.25">
      <c r="A33" s="51"/>
      <c r="B33" s="51"/>
      <c r="C33" s="51"/>
      <c r="D33" s="51"/>
      <c r="E33" s="51"/>
      <c r="F33" s="51"/>
      <c r="G33" s="51"/>
      <c r="H33" s="51"/>
    </row>
    <row r="34" spans="1:8" ht="18" customHeight="1" x14ac:dyDescent="0.25">
      <c r="A34" s="51"/>
      <c r="B34" s="51"/>
      <c r="C34" s="51"/>
      <c r="D34" s="51"/>
      <c r="E34" s="51"/>
      <c r="F34" s="51"/>
      <c r="G34" s="51"/>
      <c r="H34" s="51"/>
    </row>
    <row r="35" spans="1:8" ht="18" customHeight="1" x14ac:dyDescent="0.25">
      <c r="A35" s="51"/>
      <c r="B35" s="51"/>
      <c r="C35" s="51"/>
      <c r="D35" s="51"/>
      <c r="E35" s="51"/>
      <c r="F35" s="51"/>
      <c r="G35" s="51"/>
      <c r="H35" s="51"/>
    </row>
    <row r="36" spans="1:8" ht="18" customHeight="1" x14ac:dyDescent="0.25">
      <c r="A36" s="51"/>
      <c r="B36" s="51"/>
      <c r="C36" s="51"/>
      <c r="D36" s="51"/>
      <c r="E36" s="51"/>
      <c r="F36" s="51"/>
      <c r="G36" s="51"/>
      <c r="H36" s="51"/>
    </row>
    <row r="37" spans="1:8" ht="18" customHeight="1" x14ac:dyDescent="0.25">
      <c r="A37" s="51"/>
      <c r="B37" s="51"/>
      <c r="C37" s="51"/>
      <c r="D37" s="51"/>
      <c r="E37" s="51"/>
      <c r="F37" s="51"/>
      <c r="G37" s="51"/>
      <c r="H37" s="51"/>
    </row>
    <row r="38" spans="1:8" ht="18" customHeight="1" x14ac:dyDescent="0.25">
      <c r="A38" s="51"/>
      <c r="B38" s="51"/>
      <c r="C38" s="51"/>
      <c r="D38" s="51"/>
      <c r="E38" s="51"/>
      <c r="F38" s="51"/>
      <c r="G38" s="51"/>
      <c r="H38" s="51"/>
    </row>
    <row r="39" spans="1:8" ht="18" customHeight="1" x14ac:dyDescent="0.25">
      <c r="A39" s="51"/>
      <c r="B39" s="51"/>
      <c r="C39" s="51"/>
      <c r="D39" s="51"/>
      <c r="E39" s="51"/>
      <c r="F39" s="51"/>
      <c r="G39" s="51"/>
      <c r="H39" s="51"/>
    </row>
    <row r="40" spans="1:8" ht="18" customHeight="1" x14ac:dyDescent="0.25">
      <c r="A40" s="51"/>
      <c r="B40" s="51"/>
      <c r="C40" s="51"/>
      <c r="D40" s="51"/>
      <c r="E40" s="51"/>
      <c r="F40" s="51"/>
      <c r="G40" s="51"/>
      <c r="H40" s="51"/>
    </row>
    <row r="41" spans="1:8" ht="18" customHeight="1" x14ac:dyDescent="0.25">
      <c r="A41" s="51"/>
      <c r="B41" s="51"/>
      <c r="C41" s="51"/>
      <c r="D41" s="51"/>
      <c r="E41" s="51"/>
      <c r="F41" s="51"/>
      <c r="G41" s="51"/>
      <c r="H41" s="51"/>
    </row>
    <row r="42" spans="1:8" ht="18" customHeight="1" x14ac:dyDescent="0.25">
      <c r="A42" s="51"/>
      <c r="B42" s="51"/>
      <c r="C42" s="51"/>
      <c r="D42" s="51"/>
      <c r="E42" s="51"/>
      <c r="F42" s="51"/>
      <c r="G42" s="51"/>
      <c r="H42" s="51"/>
    </row>
    <row r="44" spans="1:8" x14ac:dyDescent="0.25">
      <c r="A44" s="63" t="s">
        <v>611</v>
      </c>
      <c r="B44" s="63"/>
      <c r="C44" s="63"/>
      <c r="D44" s="63"/>
      <c r="E44" s="63"/>
      <c r="F44" s="63"/>
      <c r="G44" s="63"/>
      <c r="H44" s="63"/>
    </row>
    <row r="45" spans="1:8" x14ac:dyDescent="0.25">
      <c r="A45" s="47" t="s">
        <v>612</v>
      </c>
      <c r="B45" s="48"/>
      <c r="C45" s="48"/>
      <c r="D45" s="48"/>
      <c r="E45" s="48"/>
      <c r="F45" s="48"/>
      <c r="G45" s="48"/>
      <c r="H45" s="48"/>
    </row>
    <row r="46" spans="1:8" x14ac:dyDescent="0.25">
      <c r="A46" s="27" t="s">
        <v>21</v>
      </c>
      <c r="B46" s="27" t="s">
        <v>22</v>
      </c>
      <c r="C46" s="27" t="s">
        <v>23</v>
      </c>
      <c r="D46" s="27" t="s">
        <v>613</v>
      </c>
      <c r="E46" s="27" t="s">
        <v>361</v>
      </c>
      <c r="F46" s="27" t="s">
        <v>369</v>
      </c>
      <c r="G46" s="27" t="s">
        <v>382</v>
      </c>
    </row>
    <row r="47" spans="1:8" x14ac:dyDescent="0.25">
      <c r="A47" s="43" t="str">
        <f t="shared" ref="A47:A54" si="3">IF(C7="","",A7)</f>
        <v>Mathematics</v>
      </c>
      <c r="B47" s="43" t="str">
        <f t="shared" ref="B47:B54" si="4">IF(C7="","",B7)</f>
        <v>Calculus</v>
      </c>
      <c r="C47" s="43" t="str">
        <f t="shared" ref="C47:C54" si="5">IF(C7="","",C7)</f>
        <v>Integration</v>
      </c>
      <c r="D47" s="43">
        <f t="shared" ref="D47:D54" si="6">IF(C7="","",D7)</f>
        <v>8</v>
      </c>
      <c r="E47" s="43">
        <f t="shared" ref="E47:E54" si="7">IF(C7="","",E7)</f>
        <v>0</v>
      </c>
      <c r="F47" s="44">
        <f t="shared" ref="F47:F54" si="8">IF(C7="","",F7)</f>
        <v>0</v>
      </c>
      <c r="G47" s="45">
        <f t="shared" ref="G47:G54" ca="1" si="9">IF(C7="","",TODAY())</f>
        <v>46304</v>
      </c>
    </row>
    <row r="48" spans="1:8" x14ac:dyDescent="0.25">
      <c r="A48" s="43" t="str">
        <f t="shared" si="3"/>
        <v>Mathematics</v>
      </c>
      <c r="B48" s="43" t="str">
        <f t="shared" si="4"/>
        <v>Calculus</v>
      </c>
      <c r="C48" s="43" t="str">
        <f t="shared" si="5"/>
        <v>Derivatives</v>
      </c>
      <c r="D48" s="43">
        <f t="shared" si="6"/>
        <v>1</v>
      </c>
      <c r="E48" s="43">
        <f t="shared" si="7"/>
        <v>0</v>
      </c>
      <c r="F48" s="44">
        <f t="shared" si="8"/>
        <v>0</v>
      </c>
      <c r="G48" s="45">
        <f t="shared" ca="1" si="9"/>
        <v>46304</v>
      </c>
    </row>
    <row r="49" spans="1:7" x14ac:dyDescent="0.25">
      <c r="A49" s="43" t="str">
        <f t="shared" si="3"/>
        <v>Mathematics</v>
      </c>
      <c r="B49" s="43" t="str">
        <f t="shared" si="4"/>
        <v>Algebra</v>
      </c>
      <c r="C49" s="43" t="str">
        <f t="shared" si="5"/>
        <v>Quadratic Equations</v>
      </c>
      <c r="D49" s="43">
        <f t="shared" si="6"/>
        <v>1</v>
      </c>
      <c r="E49" s="43">
        <f t="shared" si="7"/>
        <v>0</v>
      </c>
      <c r="F49" s="44">
        <f t="shared" si="8"/>
        <v>0</v>
      </c>
      <c r="G49" s="45">
        <f t="shared" ca="1" si="9"/>
        <v>46304</v>
      </c>
    </row>
    <row r="50" spans="1:7" x14ac:dyDescent="0.25">
      <c r="A50" s="43" t="str">
        <f t="shared" si="3"/>
        <v/>
      </c>
      <c r="B50" s="43" t="str">
        <f t="shared" si="4"/>
        <v/>
      </c>
      <c r="C50" s="43" t="str">
        <f t="shared" si="5"/>
        <v/>
      </c>
      <c r="D50" s="43" t="str">
        <f t="shared" si="6"/>
        <v/>
      </c>
      <c r="E50" s="43" t="str">
        <f t="shared" si="7"/>
        <v/>
      </c>
      <c r="F50" s="44" t="str">
        <f t="shared" si="8"/>
        <v/>
      </c>
      <c r="G50" s="45" t="str">
        <f t="shared" ca="1" si="9"/>
        <v/>
      </c>
    </row>
    <row r="51" spans="1:7" x14ac:dyDescent="0.25">
      <c r="A51" s="43" t="str">
        <f t="shared" si="3"/>
        <v/>
      </c>
      <c r="B51" s="43" t="str">
        <f t="shared" si="4"/>
        <v/>
      </c>
      <c r="C51" s="43" t="str">
        <f t="shared" si="5"/>
        <v/>
      </c>
      <c r="D51" s="43" t="str">
        <f t="shared" si="6"/>
        <v/>
      </c>
      <c r="E51" s="43" t="str">
        <f t="shared" si="7"/>
        <v/>
      </c>
      <c r="F51" s="44" t="str">
        <f t="shared" si="8"/>
        <v/>
      </c>
      <c r="G51" s="45" t="str">
        <f t="shared" ca="1" si="9"/>
        <v/>
      </c>
    </row>
    <row r="52" spans="1:7" x14ac:dyDescent="0.25">
      <c r="A52" s="43" t="str">
        <f t="shared" si="3"/>
        <v/>
      </c>
      <c r="B52" s="43" t="str">
        <f t="shared" si="4"/>
        <v/>
      </c>
      <c r="C52" s="43" t="str">
        <f t="shared" si="5"/>
        <v/>
      </c>
      <c r="D52" s="43" t="str">
        <f t="shared" si="6"/>
        <v/>
      </c>
      <c r="E52" s="43" t="str">
        <f t="shared" si="7"/>
        <v/>
      </c>
      <c r="F52" s="44" t="str">
        <f t="shared" si="8"/>
        <v/>
      </c>
      <c r="G52" s="45" t="str">
        <f t="shared" ca="1" si="9"/>
        <v/>
      </c>
    </row>
    <row r="53" spans="1:7" x14ac:dyDescent="0.25">
      <c r="A53" s="43" t="str">
        <f t="shared" si="3"/>
        <v/>
      </c>
      <c r="B53" s="43" t="str">
        <f t="shared" si="4"/>
        <v/>
      </c>
      <c r="C53" s="43" t="str">
        <f t="shared" si="5"/>
        <v/>
      </c>
      <c r="D53" s="43" t="str">
        <f t="shared" si="6"/>
        <v/>
      </c>
      <c r="E53" s="43" t="str">
        <f t="shared" si="7"/>
        <v/>
      </c>
      <c r="F53" s="44" t="str">
        <f t="shared" si="8"/>
        <v/>
      </c>
      <c r="G53" s="45" t="str">
        <f t="shared" ca="1" si="9"/>
        <v/>
      </c>
    </row>
    <row r="54" spans="1:7" x14ac:dyDescent="0.25">
      <c r="A54" s="43" t="str">
        <f t="shared" si="3"/>
        <v/>
      </c>
      <c r="B54" s="43" t="str">
        <f t="shared" si="4"/>
        <v/>
      </c>
      <c r="C54" s="43" t="str">
        <f t="shared" si="5"/>
        <v/>
      </c>
      <c r="D54" s="43" t="str">
        <f t="shared" si="6"/>
        <v/>
      </c>
      <c r="E54" s="43" t="str">
        <f t="shared" si="7"/>
        <v/>
      </c>
      <c r="F54" s="44" t="str">
        <f t="shared" si="8"/>
        <v/>
      </c>
      <c r="G54" s="45" t="str">
        <f t="shared" ca="1" si="9"/>
        <v/>
      </c>
    </row>
    <row r="57" spans="1:7" x14ac:dyDescent="0.25">
      <c r="A57" t="s">
        <v>21</v>
      </c>
      <c r="B57" t="s">
        <v>22</v>
      </c>
      <c r="C57" t="s">
        <v>23</v>
      </c>
      <c r="D57" t="s">
        <v>613</v>
      </c>
      <c r="E57" t="s">
        <v>361</v>
      </c>
      <c r="F57" t="s">
        <v>369</v>
      </c>
      <c r="G57" t="s">
        <v>382</v>
      </c>
    </row>
    <row r="58" spans="1:7" x14ac:dyDescent="0.25">
      <c r="A58" t="s">
        <v>614</v>
      </c>
    </row>
  </sheetData>
  <mergeCells count="8">
    <mergeCell ref="A44:H44"/>
    <mergeCell ref="A45:H45"/>
    <mergeCell ref="A1:H1"/>
    <mergeCell ref="A2:H2"/>
    <mergeCell ref="A5:H5"/>
    <mergeCell ref="B23:H23"/>
    <mergeCell ref="A29:H29"/>
    <mergeCell ref="A30:H42"/>
  </mergeCells>
  <conditionalFormatting sqref="G7:G18">
    <cfRule type="expression" dxfId="4" priority="1">
      <formula>G7="Weak"</formula>
    </cfRule>
    <cfRule type="expression" dxfId="3" priority="2">
      <formula>G7="Needs Practice"</formula>
    </cfRule>
    <cfRule type="expression" dxfId="2" priority="3">
      <formula>G7="Strong"</formula>
    </cfRule>
  </conditionalFormatting>
  <dataValidations count="2">
    <dataValidation type="list" allowBlank="1" showInputMessage="1" showErrorMessage="1" sqref="B25" xr:uid="{BF0F4DCB-30A1-43A2-A4AD-D982840282AF}">
      <formula1>lstGenCount</formula1>
    </dataValidation>
    <dataValidation type="list" allowBlank="1" showInputMessage="1" showErrorMessage="1" sqref="B26" xr:uid="{7C60C7FE-19AD-4C36-812A-D3105984533B}">
      <formula1>lstGenDifficulty</formula1>
    </dataValidation>
  </dataValidations>
  <hyperlinks>
    <hyperlink ref="A3" location="'HOME'!A1" tooltip="Back to Home" display="← HOME" xr:uid="{1D0DEE5E-F784-4E05-A115-68153F86B281}"/>
    <hyperlink ref="C3" location="'RESULTS'!A1" tooltip="Open results" display="RESULTS" xr:uid="{9EA80D18-F945-47E2-AEC5-F81B35892784}"/>
    <hyperlink ref="E3" location="'AI QUESTION GENERATOR'!A1" tooltip="Open the generator" display="AI QUESTION GENERATOR" xr:uid="{FDEDB3AA-CC5A-496A-8D81-91B6878D9943}"/>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D556-200A-4260-8752-02635C6274F1}">
  <sheetPr>
    <tabColor rgb="FF1F6B4A"/>
  </sheetPr>
  <dimension ref="A1:L30"/>
  <sheetViews>
    <sheetView workbookViewId="0">
      <selection sqref="A1:L1"/>
    </sheetView>
  </sheetViews>
  <sheetFormatPr defaultRowHeight="15" x14ac:dyDescent="0.25"/>
  <cols>
    <col min="1" max="1" width="34.28515625" customWidth="1"/>
    <col min="2" max="2" width="24.7109375" customWidth="1"/>
    <col min="3" max="3" width="17.140625" customWidth="1"/>
    <col min="4" max="4" width="21" customWidth="1"/>
    <col min="5" max="5" width="17.140625" customWidth="1"/>
    <col min="6" max="6" width="22.85546875" customWidth="1"/>
    <col min="7" max="7" width="28.5703125" customWidth="1"/>
    <col min="8" max="9" width="17.140625" customWidth="1"/>
    <col min="10" max="12" width="21" customWidth="1"/>
  </cols>
  <sheetData>
    <row r="1" spans="1:12" ht="32.1" customHeight="1" x14ac:dyDescent="0.45">
      <c r="A1" s="110" t="s">
        <v>383</v>
      </c>
      <c r="B1" s="111"/>
      <c r="C1" s="111"/>
      <c r="D1" s="111"/>
      <c r="E1" s="111"/>
      <c r="F1" s="111"/>
      <c r="G1" s="111"/>
      <c r="H1" s="111"/>
      <c r="I1" s="111"/>
      <c r="J1" s="111"/>
      <c r="K1" s="111"/>
      <c r="L1" s="111"/>
    </row>
    <row r="2" spans="1:12" x14ac:dyDescent="0.25">
      <c r="A2" s="112" t="s">
        <v>384</v>
      </c>
      <c r="B2" s="113"/>
      <c r="C2" s="113"/>
      <c r="D2" s="113"/>
      <c r="E2" s="113"/>
      <c r="F2" s="113"/>
      <c r="G2" s="113"/>
      <c r="H2" s="113"/>
      <c r="I2" s="113"/>
      <c r="J2" s="113"/>
      <c r="K2" s="113"/>
      <c r="L2" s="113"/>
    </row>
    <row r="3" spans="1:12" x14ac:dyDescent="0.25">
      <c r="A3" s="5" t="s">
        <v>19</v>
      </c>
      <c r="E3" s="5" t="s">
        <v>370</v>
      </c>
    </row>
    <row r="4" spans="1:12" x14ac:dyDescent="0.25">
      <c r="B4" s="31" t="s">
        <v>385</v>
      </c>
      <c r="D4" s="114" t="s">
        <v>364</v>
      </c>
      <c r="F4" s="115" t="s">
        <v>386</v>
      </c>
      <c r="H4" s="116" t="s">
        <v>387</v>
      </c>
      <c r="J4" s="117" t="s">
        <v>388</v>
      </c>
      <c r="L4" s="118" t="s">
        <v>389</v>
      </c>
    </row>
    <row r="5" spans="1:12" ht="27.95" customHeight="1" x14ac:dyDescent="0.35">
      <c r="B5" s="32">
        <f>COUNTA(tblHistory[Attempt ID])</f>
        <v>6</v>
      </c>
      <c r="D5" s="32">
        <f>SUM(tblHistory[Questions])</f>
        <v>50</v>
      </c>
      <c r="F5" s="33">
        <f>IF(B5=0,"-",AVERAGE(tblHistory[Accuracy]))</f>
        <v>0.71666666666666679</v>
      </c>
      <c r="H5" s="33">
        <f>IF(B5=0,"-",MAX(tblHistory[Accuracy]))</f>
        <v>1</v>
      </c>
      <c r="J5" s="32">
        <f>SUM(tblHistory[Correct])</f>
        <v>34</v>
      </c>
      <c r="L5" s="32">
        <f>SUM(tblHistory[Incorrect])</f>
        <v>16</v>
      </c>
    </row>
    <row r="8" spans="1:12" x14ac:dyDescent="0.25">
      <c r="A8" s="119" t="s">
        <v>402</v>
      </c>
      <c r="B8" s="119"/>
      <c r="C8" s="119"/>
      <c r="D8" s="119"/>
      <c r="E8" s="119"/>
      <c r="G8" s="120" t="s">
        <v>404</v>
      </c>
      <c r="H8" s="120"/>
      <c r="I8" s="120"/>
    </row>
    <row r="9" spans="1:12" x14ac:dyDescent="0.25">
      <c r="A9" s="13" t="s">
        <v>21</v>
      </c>
      <c r="B9" s="13" t="s">
        <v>403</v>
      </c>
      <c r="C9" s="13" t="s">
        <v>356</v>
      </c>
      <c r="D9" s="13" t="s">
        <v>361</v>
      </c>
      <c r="E9" s="13" t="s">
        <v>369</v>
      </c>
      <c r="G9" s="13" t="s">
        <v>7</v>
      </c>
      <c r="H9" s="13" t="s">
        <v>405</v>
      </c>
      <c r="I9" s="13" t="s">
        <v>369</v>
      </c>
    </row>
    <row r="10" spans="1:12" x14ac:dyDescent="0.25">
      <c r="A10" t="s">
        <v>2</v>
      </c>
      <c r="B10" s="14">
        <f>COUNTIF(tblHistory[Subject],A10)</f>
        <v>2</v>
      </c>
      <c r="C10" s="14">
        <f>SUMIF(tblHistory[Subject],A10,tblHistory[Questions])</f>
        <v>20</v>
      </c>
      <c r="D10" s="14">
        <f>SUMIF(tblHistory[Subject],A10,tblHistory[Correct])</f>
        <v>12</v>
      </c>
      <c r="E10" s="18">
        <f>IF(C10=0,"-",D10/C10)</f>
        <v>0.6</v>
      </c>
      <c r="G10" t="s">
        <v>9</v>
      </c>
      <c r="H10" s="14">
        <f>COUNTIF(tblHistory[Difficulty],G10)</f>
        <v>3</v>
      </c>
      <c r="I10" s="18">
        <f>IF(H10=0,"-",AVERAGEIF(tblHistory[Difficulty],G10,tblHistory[Accuracy]))</f>
        <v>0.8666666666666667</v>
      </c>
    </row>
    <row r="11" spans="1:12" x14ac:dyDescent="0.25">
      <c r="A11" t="s">
        <v>3</v>
      </c>
      <c r="B11" s="14">
        <f>COUNTIF(tblHistory[Subject],A11)</f>
        <v>1</v>
      </c>
      <c r="C11" s="14">
        <f>SUMIF(tblHistory[Subject],A11,tblHistory[Questions])</f>
        <v>10</v>
      </c>
      <c r="D11" s="14">
        <f>SUMIF(tblHistory[Subject],A11,tblHistory[Correct])</f>
        <v>6</v>
      </c>
      <c r="E11" s="18">
        <f>IF(C11=0,"-",D11/C11)</f>
        <v>0.6</v>
      </c>
      <c r="G11" t="s">
        <v>10</v>
      </c>
      <c r="H11" s="14">
        <f>COUNTIF(tblHistory[Difficulty],G11)</f>
        <v>2</v>
      </c>
      <c r="I11" s="18">
        <f>IF(H11=0,"-",AVERAGEIF(tblHistory[Difficulty],G11,tblHistory[Accuracy]))</f>
        <v>0.64999999999999991</v>
      </c>
    </row>
    <row r="12" spans="1:12" x14ac:dyDescent="0.25">
      <c r="A12" t="s">
        <v>4</v>
      </c>
      <c r="B12" s="14">
        <f>COUNTIF(tblHistory[Subject],A12)</f>
        <v>1</v>
      </c>
      <c r="C12" s="14">
        <f>SUMIF(tblHistory[Subject],A12,tblHistory[Questions])</f>
        <v>5</v>
      </c>
      <c r="D12" s="14">
        <f>SUMIF(tblHistory[Subject],A12,tblHistory[Correct])</f>
        <v>4</v>
      </c>
      <c r="E12" s="18">
        <f>IF(C12=0,"-",D12/C12)</f>
        <v>0.8</v>
      </c>
      <c r="G12" t="s">
        <v>11</v>
      </c>
      <c r="H12" s="14">
        <f>COUNTIF(tblHistory[Difficulty],G12)</f>
        <v>1</v>
      </c>
      <c r="I12" s="18">
        <f>IF(H12=0,"-",AVERAGEIF(tblHistory[Difficulty],G12,tblHistory[Accuracy]))</f>
        <v>0.4</v>
      </c>
    </row>
    <row r="13" spans="1:12" x14ac:dyDescent="0.25">
      <c r="A13" t="s">
        <v>5</v>
      </c>
      <c r="B13" s="14">
        <f>COUNTIF(tblHistory[Subject],A13)</f>
        <v>1</v>
      </c>
      <c r="C13" s="14">
        <f>SUMIF(tblHistory[Subject],A13,tblHistory[Questions])</f>
        <v>10</v>
      </c>
      <c r="D13" s="14">
        <f>SUMIF(tblHistory[Subject],A13,tblHistory[Correct])</f>
        <v>7</v>
      </c>
      <c r="E13" s="18">
        <f>IF(C13=0,"-",D13/C13)</f>
        <v>0.7</v>
      </c>
    </row>
    <row r="14" spans="1:12" x14ac:dyDescent="0.25">
      <c r="A14" t="s">
        <v>6</v>
      </c>
      <c r="B14" s="14">
        <f>COUNTIF(tblHistory[Subject],A14)</f>
        <v>1</v>
      </c>
      <c r="C14" s="14">
        <f>SUMIF(tblHistory[Subject],A14,tblHistory[Questions])</f>
        <v>5</v>
      </c>
      <c r="D14" s="14">
        <f>SUMIF(tblHistory[Subject],A14,tblHistory[Correct])</f>
        <v>5</v>
      </c>
      <c r="E14" s="18">
        <f>IF(C14=0,"-",D14/C14)</f>
        <v>1</v>
      </c>
    </row>
    <row r="16" spans="1:12" x14ac:dyDescent="0.25">
      <c r="A16" s="70" t="s">
        <v>406</v>
      </c>
      <c r="B16" s="70"/>
      <c r="C16" s="70"/>
      <c r="D16" s="70"/>
      <c r="E16" s="70"/>
    </row>
    <row r="17" spans="1:9" x14ac:dyDescent="0.25">
      <c r="A17" s="25" t="s">
        <v>407</v>
      </c>
      <c r="B17" s="35" t="str" cm="1">
        <f t="array" ref="B17">IF(B5=0,"-",IFERROR(INDEX(A10:A14,MATCH(MAX(_xlfn._xlws.FILTER(E10:E14,B10:B14&gt;0)),E10:E14,0)),"-"))</f>
        <v>PowerPoint</v>
      </c>
      <c r="D17" s="25" t="s">
        <v>410</v>
      </c>
      <c r="E17" s="34">
        <f>H5</f>
        <v>1</v>
      </c>
    </row>
    <row r="18" spans="1:9" x14ac:dyDescent="0.25">
      <c r="A18" s="25" t="s">
        <v>408</v>
      </c>
      <c r="B18" s="35" t="str" cm="1">
        <f t="array" ref="B18">IF(B5=0,"-",IFERROR(INDEX(A10:A14,MATCH(MIN(_xlfn._xlws.FILTER(E10:E14,B10:B14&gt;0)),E10:E14,0)),"-"))</f>
        <v>Mathematics</v>
      </c>
      <c r="D18" s="25" t="s">
        <v>411</v>
      </c>
      <c r="E18" s="8">
        <f>B5</f>
        <v>6</v>
      </c>
    </row>
    <row r="19" spans="1:9" x14ac:dyDescent="0.25">
      <c r="A19" s="25" t="s">
        <v>409</v>
      </c>
      <c r="B19" s="35" t="str" cm="1">
        <f t="array" ref="B19">IF(B5=0,"-",IFERROR(INDEX(G10:G12,MATCH(MAX(_xlfn._xlws.FILTER(I10:I12,H10:H12&gt;0)),I10:I12,0)),"-"))</f>
        <v>Easy</v>
      </c>
      <c r="D19" s="25" t="s">
        <v>412</v>
      </c>
      <c r="E19" s="8">
        <f>D5</f>
        <v>50</v>
      </c>
    </row>
    <row r="20" spans="1:9" x14ac:dyDescent="0.25">
      <c r="A20" s="25" t="s">
        <v>386</v>
      </c>
      <c r="B20" s="36">
        <f>F5</f>
        <v>0.71666666666666679</v>
      </c>
      <c r="D20" s="25" t="s">
        <v>389</v>
      </c>
      <c r="E20" s="8">
        <f>L5</f>
        <v>16</v>
      </c>
    </row>
    <row r="23" spans="1:9" x14ac:dyDescent="0.25">
      <c r="A23" s="63" t="s">
        <v>413</v>
      </c>
      <c r="B23" s="63"/>
      <c r="C23" s="63"/>
      <c r="D23" s="63"/>
      <c r="E23" s="63"/>
      <c r="F23" s="63"/>
      <c r="G23" s="63"/>
      <c r="H23" s="63"/>
      <c r="I23" s="63"/>
    </row>
    <row r="24" spans="1:9" x14ac:dyDescent="0.25">
      <c r="A24" t="s">
        <v>381</v>
      </c>
      <c r="B24" t="s">
        <v>382</v>
      </c>
      <c r="C24" t="s">
        <v>21</v>
      </c>
      <c r="D24" t="s">
        <v>7</v>
      </c>
      <c r="E24" t="s">
        <v>356</v>
      </c>
      <c r="F24" t="s">
        <v>361</v>
      </c>
      <c r="G24" t="s">
        <v>366</v>
      </c>
      <c r="H24" t="s">
        <v>369</v>
      </c>
      <c r="I24" t="s">
        <v>368</v>
      </c>
    </row>
    <row r="25" spans="1:9" x14ac:dyDescent="0.25">
      <c r="A25" t="s">
        <v>390</v>
      </c>
      <c r="B25" s="24" t="s">
        <v>391</v>
      </c>
      <c r="C25" t="s">
        <v>2</v>
      </c>
      <c r="D25" t="s">
        <v>9</v>
      </c>
      <c r="E25">
        <v>10</v>
      </c>
      <c r="F25">
        <v>8</v>
      </c>
      <c r="G25">
        <v>2</v>
      </c>
      <c r="H25" s="7">
        <v>0.8</v>
      </c>
      <c r="I25" s="3">
        <v>46244</v>
      </c>
    </row>
    <row r="26" spans="1:9" x14ac:dyDescent="0.25">
      <c r="A26" t="s">
        <v>392</v>
      </c>
      <c r="B26" s="24" t="s">
        <v>393</v>
      </c>
      <c r="C26" t="s">
        <v>3</v>
      </c>
      <c r="D26" t="s">
        <v>10</v>
      </c>
      <c r="E26">
        <v>10</v>
      </c>
      <c r="F26">
        <v>6</v>
      </c>
      <c r="G26">
        <v>4</v>
      </c>
      <c r="H26" s="7">
        <v>0.6</v>
      </c>
      <c r="I26" s="3">
        <v>46183</v>
      </c>
    </row>
    <row r="27" spans="1:9" x14ac:dyDescent="0.25">
      <c r="A27" t="s">
        <v>394</v>
      </c>
      <c r="B27" s="24" t="s">
        <v>395</v>
      </c>
      <c r="C27" t="s">
        <v>4</v>
      </c>
      <c r="D27" t="s">
        <v>9</v>
      </c>
      <c r="E27">
        <v>5</v>
      </c>
      <c r="F27">
        <v>4</v>
      </c>
      <c r="G27">
        <v>1</v>
      </c>
      <c r="H27" s="7">
        <v>0.8</v>
      </c>
      <c r="I27" s="3">
        <v>46117</v>
      </c>
    </row>
    <row r="28" spans="1:9" x14ac:dyDescent="0.25">
      <c r="A28" t="s">
        <v>396</v>
      </c>
      <c r="B28" s="24" t="s">
        <v>397</v>
      </c>
      <c r="C28" t="s">
        <v>5</v>
      </c>
      <c r="D28" t="s">
        <v>10</v>
      </c>
      <c r="E28">
        <v>10</v>
      </c>
      <c r="F28">
        <v>7</v>
      </c>
      <c r="G28">
        <v>3</v>
      </c>
      <c r="H28" s="7">
        <v>0.7</v>
      </c>
      <c r="I28" s="3">
        <v>46213</v>
      </c>
    </row>
    <row r="29" spans="1:9" x14ac:dyDescent="0.25">
      <c r="A29" t="s">
        <v>398</v>
      </c>
      <c r="B29" s="24" t="s">
        <v>399</v>
      </c>
      <c r="C29" t="s">
        <v>6</v>
      </c>
      <c r="D29" t="s">
        <v>9</v>
      </c>
      <c r="E29">
        <v>5</v>
      </c>
      <c r="F29">
        <v>5</v>
      </c>
      <c r="G29">
        <v>0</v>
      </c>
      <c r="H29" s="7">
        <v>1</v>
      </c>
      <c r="I29" s="3">
        <v>46147</v>
      </c>
    </row>
    <row r="30" spans="1:9" x14ac:dyDescent="0.25">
      <c r="A30" t="s">
        <v>400</v>
      </c>
      <c r="B30" s="24" t="s">
        <v>401</v>
      </c>
      <c r="C30" t="s">
        <v>2</v>
      </c>
      <c r="D30" t="s">
        <v>11</v>
      </c>
      <c r="E30">
        <v>10</v>
      </c>
      <c r="F30">
        <v>4</v>
      </c>
      <c r="G30">
        <v>6</v>
      </c>
      <c r="H30" s="7">
        <v>0.4</v>
      </c>
      <c r="I30" s="3">
        <v>46122</v>
      </c>
    </row>
  </sheetData>
  <mergeCells count="6">
    <mergeCell ref="A23:I23"/>
    <mergeCell ref="A1:L1"/>
    <mergeCell ref="A2:L2"/>
    <mergeCell ref="A8:E8"/>
    <mergeCell ref="G8:I8"/>
    <mergeCell ref="A16:E16"/>
  </mergeCells>
  <conditionalFormatting sqref="E10:E14">
    <cfRule type="expression" dxfId="1" priority="1">
      <formula>AND(ISNUMBER(E10),E10&lt;0.7)</formula>
    </cfRule>
    <cfRule type="expression" dxfId="0" priority="2">
      <formula>AND(ISNUMBER(E10),E10&gt;=0.9)</formula>
    </cfRule>
  </conditionalFormatting>
  <hyperlinks>
    <hyperlink ref="A3" location="'HOME'!A1" tooltip="Back to Home" display="← HOME" xr:uid="{4670DC04-6193-49CF-8013-72D3ED30A45C}"/>
    <hyperlink ref="E3" location="'RESULTS'!A1" tooltip="Open results" display="→ RESULTS" xr:uid="{FE04495F-7832-4DA2-98A7-71E1D0C10870}"/>
  </hyperlink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3156-07E5-48BD-9DE0-593069B6842F}">
  <dimension ref="A1:O17"/>
  <sheetViews>
    <sheetView workbookViewId="0">
      <selection activeCell="K15" sqref="K15"/>
    </sheetView>
  </sheetViews>
  <sheetFormatPr defaultRowHeight="15" x14ac:dyDescent="0.25"/>
  <cols>
    <col min="1" max="1" width="26.7109375" customWidth="1"/>
    <col min="3" max="3" width="24.7109375" customWidth="1"/>
    <col min="5" max="5" width="22.85546875" customWidth="1"/>
    <col min="7" max="7" width="21" customWidth="1"/>
    <col min="9" max="9" width="26.7109375" customWidth="1"/>
    <col min="11" max="11" width="22.85546875" customWidth="1"/>
    <col min="13" max="13" width="24.7109375" customWidth="1"/>
    <col min="15" max="15" width="22.85546875" customWidth="1"/>
  </cols>
  <sheetData>
    <row r="1" spans="1:15" ht="15.75" x14ac:dyDescent="0.25">
      <c r="A1" s="1" t="s">
        <v>0</v>
      </c>
      <c r="C1" s="1" t="s">
        <v>7</v>
      </c>
      <c r="E1" s="1" t="s">
        <v>12</v>
      </c>
      <c r="G1" s="1" t="s">
        <v>13</v>
      </c>
      <c r="I1" s="9" t="s">
        <v>507</v>
      </c>
      <c r="K1" s="9" t="s">
        <v>509</v>
      </c>
      <c r="M1" s="9" t="s">
        <v>510</v>
      </c>
      <c r="O1" s="9" t="s">
        <v>512</v>
      </c>
    </row>
    <row r="2" spans="1:15" x14ac:dyDescent="0.25">
      <c r="A2" t="s">
        <v>1</v>
      </c>
      <c r="C2" t="s">
        <v>8</v>
      </c>
      <c r="E2">
        <v>5</v>
      </c>
      <c r="G2" t="s">
        <v>14</v>
      </c>
      <c r="I2" t="s">
        <v>9</v>
      </c>
      <c r="K2">
        <v>5</v>
      </c>
      <c r="M2" t="s">
        <v>511</v>
      </c>
      <c r="O2" t="s">
        <v>513</v>
      </c>
    </row>
    <row r="3" spans="1:15" x14ac:dyDescent="0.25">
      <c r="A3" t="s">
        <v>2</v>
      </c>
      <c r="C3" t="s">
        <v>9</v>
      </c>
      <c r="E3">
        <v>10</v>
      </c>
      <c r="G3" t="s">
        <v>15</v>
      </c>
      <c r="I3" t="s">
        <v>10</v>
      </c>
      <c r="K3">
        <v>10</v>
      </c>
      <c r="M3" t="s">
        <v>508</v>
      </c>
      <c r="O3" t="s">
        <v>514</v>
      </c>
    </row>
    <row r="4" spans="1:15" x14ac:dyDescent="0.25">
      <c r="A4" t="s">
        <v>3</v>
      </c>
      <c r="C4" t="s">
        <v>10</v>
      </c>
      <c r="E4">
        <v>15</v>
      </c>
      <c r="G4" t="s">
        <v>16</v>
      </c>
      <c r="I4" t="s">
        <v>11</v>
      </c>
      <c r="K4">
        <v>20</v>
      </c>
      <c r="O4" t="s">
        <v>515</v>
      </c>
    </row>
    <row r="5" spans="1:15" x14ac:dyDescent="0.25">
      <c r="A5" t="s">
        <v>4</v>
      </c>
      <c r="C5" t="s">
        <v>11</v>
      </c>
      <c r="E5">
        <v>20</v>
      </c>
      <c r="G5" t="s">
        <v>17</v>
      </c>
      <c r="I5" t="s">
        <v>508</v>
      </c>
      <c r="K5">
        <v>30</v>
      </c>
      <c r="O5" t="s">
        <v>508</v>
      </c>
    </row>
    <row r="6" spans="1:15" x14ac:dyDescent="0.25">
      <c r="A6" t="s">
        <v>5</v>
      </c>
      <c r="K6">
        <v>50</v>
      </c>
    </row>
    <row r="7" spans="1:15" x14ac:dyDescent="0.25">
      <c r="A7" t="s">
        <v>6</v>
      </c>
    </row>
    <row r="8" spans="1:15" x14ac:dyDescent="0.25">
      <c r="A8" t="s">
        <v>501</v>
      </c>
    </row>
    <row r="9" spans="1:15" x14ac:dyDescent="0.25">
      <c r="A9" t="s">
        <v>502</v>
      </c>
    </row>
    <row r="10" spans="1:15" ht="18.75" x14ac:dyDescent="0.3">
      <c r="A10" s="38" t="s">
        <v>503</v>
      </c>
      <c r="B10" s="37"/>
      <c r="C10" s="37"/>
      <c r="D10" s="37"/>
      <c r="E10" s="37"/>
      <c r="F10" s="37"/>
      <c r="G10" s="37"/>
    </row>
    <row r="11" spans="1:15" ht="48" customHeight="1" x14ac:dyDescent="0.25">
      <c r="A11" s="2" t="s">
        <v>504</v>
      </c>
      <c r="B11" s="2"/>
      <c r="C11" s="2"/>
      <c r="D11" s="2"/>
      <c r="E11" s="2"/>
      <c r="F11" s="2"/>
      <c r="G11" s="2"/>
    </row>
    <row r="12" spans="1:15" x14ac:dyDescent="0.25">
      <c r="A12" s="2"/>
      <c r="B12" s="2"/>
      <c r="C12" s="2"/>
      <c r="D12" s="2"/>
      <c r="E12" s="2"/>
      <c r="F12" s="2"/>
      <c r="G12" s="2"/>
    </row>
    <row r="13" spans="1:15" ht="15.75" customHeight="1" x14ac:dyDescent="0.3">
      <c r="A13" s="71" t="s">
        <v>18</v>
      </c>
      <c r="B13" s="48"/>
      <c r="C13" s="48"/>
      <c r="D13" s="48"/>
      <c r="E13" s="48"/>
      <c r="F13" s="48"/>
      <c r="G13" s="48"/>
    </row>
    <row r="14" spans="1:15" x14ac:dyDescent="0.25">
      <c r="A14" s="47" t="s">
        <v>505</v>
      </c>
      <c r="B14" s="48"/>
      <c r="C14" s="48"/>
      <c r="D14" s="48"/>
      <c r="E14" s="48"/>
      <c r="F14" s="48"/>
      <c r="G14" s="48"/>
    </row>
    <row r="15" spans="1:15" x14ac:dyDescent="0.25">
      <c r="A15" s="48"/>
      <c r="B15" s="48"/>
      <c r="C15" s="48"/>
      <c r="D15" s="48"/>
      <c r="E15" s="48"/>
      <c r="F15" s="48"/>
      <c r="G15" s="48"/>
    </row>
    <row r="16" spans="1:15" x14ac:dyDescent="0.25">
      <c r="A16" s="48"/>
      <c r="B16" s="48"/>
      <c r="C16" s="48"/>
      <c r="D16" s="48"/>
      <c r="E16" s="48"/>
      <c r="F16" s="48"/>
      <c r="G16" s="48"/>
    </row>
    <row r="17" spans="1:1" x14ac:dyDescent="0.25">
      <c r="A17" t="s">
        <v>506</v>
      </c>
    </row>
  </sheetData>
  <mergeCells count="2">
    <mergeCell ref="A13:G13"/>
    <mergeCell ref="A14:G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HOME</vt:lpstr>
      <vt:lpstr>QUIZ</vt:lpstr>
      <vt:lpstr>QUESTION_BANK</vt:lpstr>
      <vt:lpstr>AI QUESTION GENERATOR</vt:lpstr>
      <vt:lpstr>RESULTS</vt:lpstr>
      <vt:lpstr>WEAK TOPIC PRACTICE</vt:lpstr>
      <vt:lpstr>PROGRESS</vt:lpstr>
      <vt:lpstr>SETTINGS</vt:lpstr>
      <vt:lpstr>lstAnswers</vt:lpstr>
      <vt:lpstr>lstCount</vt:lpstr>
      <vt:lpstr>lstDifficulty</vt:lpstr>
      <vt:lpstr>lstGenCount</vt:lpstr>
      <vt:lpstr>lstGenDifficulty</vt:lpstr>
      <vt:lpstr>lstGenStyle</vt:lpstr>
      <vt:lpstr>lstGenType</vt:lpstr>
      <vt:lpstr>lstSubjects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kumar</dc:creator>
  <cp:lastModifiedBy>Tushar kumar</cp:lastModifiedBy>
  <dcterms:created xsi:type="dcterms:W3CDTF">2026-10-06T06:06:18Z</dcterms:created>
  <dcterms:modified xsi:type="dcterms:W3CDTF">2026-10-09T05:51:12Z</dcterms:modified>
</cp:coreProperties>
</file>