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3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39.xml" ContentType="application/vnd.ms-excel.controlproperties+xml"/>
  <Override PartName="/xl/drawings/drawing9.xml" ContentType="application/vnd.openxmlformats-officedocument.drawing+xml"/>
  <Override PartName="/xl/ctrlProps/ctrlProp40.xml" ContentType="application/vnd.ms-excel.controlpropertie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69711755cde1a6/Documents/"/>
    </mc:Choice>
  </mc:AlternateContent>
  <xr:revisionPtr revIDLastSave="9422" documentId="8_{672DC456-016A-464F-B52D-55301B92D824}" xr6:coauthVersionLast="47" xr6:coauthVersionMax="47" xr10:uidLastSave="{EB0B4383-4EBD-400F-ADF3-BF508456E42C}"/>
  <bookViews>
    <workbookView xWindow="-120" yWindow="-120" windowWidth="29040" windowHeight="15720" tabRatio="674" xr2:uid="{FCE2942C-BDF6-4E8F-A2D0-8C778110269A}"/>
  </bookViews>
  <sheets>
    <sheet name="HOME" sheetId="1" r:id="rId1"/>
    <sheet name="EMPLOYEES" sheetId="2" r:id="rId2"/>
    <sheet name="CUSTOMERS" sheetId="3" r:id="rId3"/>
    <sheet name="INVENTORY" sheetId="4" r:id="rId4"/>
    <sheet name="SALES" sheetId="5" r:id="rId5"/>
    <sheet name="PAYROLL" sheetId="6" r:id="rId6"/>
    <sheet name="DASHBOARD" sheetId="7" r:id="rId7"/>
    <sheet name="REPORTS" sheetId="8" r:id="rId8"/>
    <sheet name="SETTINGS" sheetId="9" r:id="rId9"/>
    <sheet name="Stock_log" sheetId="10" r:id="rId10"/>
  </sheets>
  <definedNames>
    <definedName name="_xlnm.Print_Area" localSheetId="7">REPORTS!$A$19:$L$72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3" i="8" l="1" a="1"/>
  <c r="H3" i="3" a="1"/>
  <c r="L22" i="3" s="1"/>
  <c r="H4" i="3" a="1"/>
  <c r="H5" i="3" a="1"/>
  <c r="H6" i="3" a="1"/>
  <c r="H7" i="3" a="1"/>
  <c r="H8" i="3" a="1"/>
  <c r="H9" i="3" a="1"/>
  <c r="H10" i="3" a="1"/>
  <c r="H11" i="3" a="1"/>
  <c r="H12" i="3" a="1"/>
  <c r="H13" i="3" a="1"/>
  <c r="H14" i="3" a="1"/>
  <c r="H15" i="3" a="1"/>
  <c r="H16" i="3" a="1"/>
  <c r="H17" i="3" a="1"/>
  <c r="H18" i="3" a="1"/>
  <c r="H19" i="3" a="1"/>
  <c r="H20" i="3" a="1"/>
  <c r="H21" i="3" a="1"/>
  <c r="H22" i="3" a="1"/>
  <c r="H23" i="3" a="1"/>
  <c r="H24" i="3" a="1"/>
  <c r="H25" i="3" a="1"/>
  <c r="H26" i="3" a="1"/>
  <c r="H27" i="3" a="1"/>
  <c r="H28" i="3" a="1"/>
  <c r="H29" i="3" a="1"/>
  <c r="H30" i="3" a="1"/>
  <c r="H31" i="3" a="1"/>
  <c r="H32" i="3" a="1"/>
  <c r="H33" i="3" a="1"/>
  <c r="H34" i="3" a="1"/>
  <c r="H35" i="3" a="1"/>
  <c r="H36" i="3" a="1"/>
  <c r="H37" i="3" a="1"/>
  <c r="H38" i="3" a="1"/>
  <c r="H39" i="3" a="1"/>
  <c r="H40" i="3" a="1"/>
  <c r="H41" i="3" a="1"/>
  <c r="H42" i="3" a="1"/>
  <c r="H43" i="3" a="1"/>
  <c r="H44" i="3" a="1"/>
  <c r="H45" i="3" a="1"/>
  <c r="H46" i="3" a="1"/>
  <c r="H47" i="3" a="1"/>
  <c r="H48" i="3" a="1"/>
  <c r="H49" i="3" a="1"/>
  <c r="H50" i="3" a="1"/>
  <c r="H51" i="3" a="1"/>
  <c r="H52" i="3" a="1"/>
  <c r="H53" i="3" a="1"/>
  <c r="G3" i="3"/>
  <c r="L21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R6" i="8" a="1"/>
  <c r="Q6" i="8" a="1"/>
  <c r="R4" i="8" a="1"/>
  <c r="Q4" i="8" a="1"/>
  <c r="AG11" i="8" a="1"/>
  <c r="AG12" i="8" a="1"/>
  <c r="AG13" i="8" a="1"/>
  <c r="AG14" i="8" a="1"/>
  <c r="AG15" i="8" a="1"/>
  <c r="AG16" i="8" a="1"/>
  <c r="AF11" i="8" a="1"/>
  <c r="AF12" i="8" a="1"/>
  <c r="AF13" i="8" a="1"/>
  <c r="AF14" i="8" a="1"/>
  <c r="AF15" i="8" a="1"/>
  <c r="AF16" i="8" a="1"/>
  <c r="AE11" i="8" a="1"/>
  <c r="AE12" i="8" a="1"/>
  <c r="AE13" i="8" a="1"/>
  <c r="AE14" i="8" a="1"/>
  <c r="AE15" i="8" a="1"/>
  <c r="AE16" i="8" a="1"/>
  <c r="U6" i="8" a="1"/>
  <c r="U7" i="8" a="1"/>
  <c r="T6" i="8" a="1"/>
  <c r="T7" i="8" a="1"/>
  <c r="AK3" i="8" a="1"/>
  <c r="AK6" i="8"/>
  <c r="AK5" i="8"/>
  <c r="AK4" i="8"/>
  <c r="O15" i="5"/>
  <c r="AD2" i="8" a="1"/>
  <c r="Y3" i="8"/>
  <c r="E38" i="7"/>
  <c r="C38" i="7"/>
  <c r="A38" i="7"/>
  <c r="X3" i="8"/>
  <c r="O20" i="5"/>
  <c r="O19" i="5"/>
  <c r="J3" i="4"/>
  <c r="J4" i="4"/>
  <c r="L4" i="4" s="1"/>
  <c r="J5" i="4"/>
  <c r="L5" i="4" s="1"/>
  <c r="J6" i="4"/>
  <c r="L6" i="4" s="1"/>
  <c r="J7" i="4"/>
  <c r="L7" i="4" s="1"/>
  <c r="J8" i="4"/>
  <c r="L8" i="4" s="1"/>
  <c r="J9" i="4"/>
  <c r="L9" i="4" s="1"/>
  <c r="J10" i="4"/>
  <c r="L10" i="4" s="1"/>
  <c r="J11" i="4"/>
  <c r="L11" i="4" s="1"/>
  <c r="J12" i="4"/>
  <c r="L12" i="4" s="1"/>
  <c r="J13" i="4"/>
  <c r="L13" i="4" s="1"/>
  <c r="J14" i="4"/>
  <c r="L14" i="4" s="1"/>
  <c r="J15" i="4"/>
  <c r="L15" i="4" s="1"/>
  <c r="J16" i="4"/>
  <c r="L16" i="4" s="1"/>
  <c r="J17" i="4"/>
  <c r="L17" i="4" s="1"/>
  <c r="J18" i="4"/>
  <c r="L18" i="4" s="1"/>
  <c r="J19" i="4"/>
  <c r="L19" i="4" s="1"/>
  <c r="J20" i="4"/>
  <c r="L20" i="4" s="1"/>
  <c r="J21" i="4"/>
  <c r="L21" i="4" s="1"/>
  <c r="J22" i="4"/>
  <c r="L22" i="4" s="1"/>
  <c r="J23" i="4"/>
  <c r="L23" i="4" s="1"/>
  <c r="J24" i="4"/>
  <c r="L24" i="4" s="1"/>
  <c r="J25" i="4"/>
  <c r="L25" i="4" s="1"/>
  <c r="J26" i="4"/>
  <c r="L26" i="4" s="1"/>
  <c r="J27" i="4"/>
  <c r="L27" i="4" s="1"/>
  <c r="J28" i="4"/>
  <c r="L28" i="4" s="1"/>
  <c r="J29" i="4"/>
  <c r="L29" i="4" s="1"/>
  <c r="J30" i="4"/>
  <c r="L30" i="4" s="1"/>
  <c r="J31" i="4"/>
  <c r="L31" i="4" s="1"/>
  <c r="J32" i="4"/>
  <c r="L32" i="4" s="1"/>
  <c r="J33" i="4"/>
  <c r="L33" i="4" s="1"/>
  <c r="J34" i="4"/>
  <c r="L34" i="4" s="1"/>
  <c r="J35" i="4"/>
  <c r="L35" i="4" s="1"/>
  <c r="J36" i="4"/>
  <c r="L36" i="4" s="1"/>
  <c r="J37" i="4"/>
  <c r="L37" i="4" s="1"/>
  <c r="J38" i="4"/>
  <c r="L38" i="4" s="1"/>
  <c r="J39" i="4"/>
  <c r="L39" i="4" s="1"/>
  <c r="J40" i="4"/>
  <c r="L40" i="4" s="1"/>
  <c r="J41" i="4"/>
  <c r="L41" i="4" s="1"/>
  <c r="J42" i="4"/>
  <c r="L42" i="4" s="1"/>
  <c r="J43" i="4"/>
  <c r="L43" i="4" s="1"/>
  <c r="J44" i="4"/>
  <c r="L44" i="4" s="1"/>
  <c r="J45" i="4"/>
  <c r="L45" i="4" s="1"/>
  <c r="J46" i="4"/>
  <c r="L46" i="4" s="1"/>
  <c r="J47" i="4"/>
  <c r="L47" i="4" s="1"/>
  <c r="J48" i="4"/>
  <c r="L48" i="4" s="1"/>
  <c r="J49" i="4"/>
  <c r="L49" i="4" s="1"/>
  <c r="J50" i="4"/>
  <c r="L50" i="4" s="1"/>
  <c r="J51" i="4"/>
  <c r="L51" i="4" s="1"/>
  <c r="J52" i="4"/>
  <c r="L52" i="4" s="1"/>
  <c r="J53" i="4"/>
  <c r="L53" i="4" s="1"/>
  <c r="J54" i="4"/>
  <c r="L54" i="4" s="1"/>
  <c r="A2" i="7"/>
  <c r="B12" i="8"/>
  <c r="L12" i="2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AB7" i="7"/>
  <c r="AB6" i="7"/>
  <c r="AB5" i="7"/>
  <c r="AB4" i="7"/>
  <c r="AB3" i="7"/>
  <c r="H7" i="8"/>
  <c r="H6" i="8"/>
  <c r="H8" i="8"/>
  <c r="H5" i="8"/>
  <c r="K24" i="7"/>
  <c r="K23" i="7"/>
  <c r="K22" i="7"/>
  <c r="K21" i="7"/>
  <c r="K20" i="7"/>
  <c r="K18" i="7"/>
  <c r="K17" i="7"/>
  <c r="K16" i="7"/>
  <c r="K14" i="7"/>
  <c r="K13" i="7"/>
  <c r="K11" i="7"/>
  <c r="K10" i="7"/>
  <c r="K9" i="7"/>
  <c r="K8" i="7"/>
  <c r="K7" i="7"/>
  <c r="K6" i="7"/>
  <c r="K5" i="7"/>
  <c r="K4" i="7"/>
  <c r="K3" i="7"/>
  <c r="K26" i="7"/>
  <c r="K25" i="7"/>
  <c r="K19" i="7"/>
  <c r="K15" i="7"/>
  <c r="K12" i="7"/>
  <c r="AB2" i="7"/>
  <c r="O12" i="6"/>
  <c r="G5" i="7"/>
  <c r="E5" i="7"/>
  <c r="C5" i="7"/>
  <c r="O27" i="8"/>
  <c r="O25" i="8"/>
  <c r="O24" i="8"/>
  <c r="O22" i="8"/>
  <c r="L11" i="2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S2" i="8" a="1"/>
  <c r="O26" i="8"/>
  <c r="O21" i="8"/>
  <c r="E29" i="7" a="1"/>
  <c r="E28" i="7" a="1"/>
  <c r="E27" i="7" a="1"/>
  <c r="G27" i="7" s="1" a="1"/>
  <c r="E26" i="7" a="1"/>
  <c r="G26" i="7" s="1" a="1"/>
  <c r="E25" i="7" a="1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M2" i="7" a="1"/>
  <c r="O15" i="6"/>
  <c r="O6" i="6"/>
  <c r="O5" i="6"/>
  <c r="O27" i="6"/>
  <c r="O25" i="6"/>
  <c r="O24" i="6"/>
  <c r="O23" i="6"/>
  <c r="O22" i="6"/>
  <c r="O21" i="6"/>
  <c r="O9" i="5"/>
  <c r="O10" i="5" s="1"/>
  <c r="O7" i="5"/>
  <c r="O5" i="5"/>
  <c r="O44" i="4"/>
  <c r="O43" i="4"/>
  <c r="O41" i="4"/>
  <c r="O22" i="4"/>
  <c r="O21" i="4"/>
  <c r="O20" i="4"/>
  <c r="O19" i="4"/>
  <c r="O18" i="4"/>
  <c r="L32" i="3"/>
  <c r="L31" i="3"/>
  <c r="L30" i="3"/>
  <c r="L29" i="3"/>
  <c r="L28" i="3"/>
  <c r="L23" i="3"/>
  <c r="L20" i="3"/>
  <c r="L19" i="3"/>
  <c r="L18" i="3"/>
  <c r="L17" i="3"/>
  <c r="L26" i="2"/>
  <c r="L25" i="2"/>
  <c r="L24" i="2"/>
  <c r="L23" i="2"/>
  <c r="L20" i="8"/>
  <c r="K20" i="8"/>
  <c r="J20" i="8"/>
  <c r="I20" i="8"/>
  <c r="H20" i="8"/>
  <c r="G20" i="8"/>
  <c r="F20" i="8"/>
  <c r="E20" i="8"/>
  <c r="D20" i="8"/>
  <c r="C20" i="8"/>
  <c r="B20" i="8"/>
  <c r="A20" i="8"/>
  <c r="F8" i="8"/>
  <c r="F7" i="8"/>
  <c r="F6" i="8"/>
  <c r="F5" i="8"/>
  <c r="F1" i="8"/>
  <c r="K5" i="6"/>
  <c r="K6" i="6"/>
  <c r="K7" i="6"/>
  <c r="K8" i="6"/>
  <c r="K9" i="6"/>
  <c r="K10" i="6"/>
  <c r="K11" i="6"/>
  <c r="K12" i="6"/>
  <c r="K13" i="6"/>
  <c r="K14" i="6"/>
  <c r="O26" i="6" s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K2" i="7" s="1"/>
  <c r="B33" i="7" s="1"/>
  <c r="I52" i="5"/>
  <c r="G29" i="7" l="1" a="1"/>
  <c r="G28" i="7" a="1"/>
  <c r="AJ4" i="8"/>
  <c r="AJ5" i="8"/>
  <c r="AJ6" i="8" s="1"/>
  <c r="AJ8" i="8"/>
  <c r="L3" i="4"/>
  <c r="AJ7" i="8" s="1"/>
  <c r="AJ3" i="8"/>
  <c r="R10" i="8"/>
  <c r="Q10" i="8"/>
  <c r="R11" i="8"/>
  <c r="Q11" i="8"/>
  <c r="R12" i="8"/>
  <c r="Q12" i="8"/>
  <c r="R13" i="8"/>
  <c r="Q13" i="8"/>
  <c r="R14" i="8"/>
  <c r="Q14" i="8"/>
  <c r="R15" i="8"/>
  <c r="Q15" i="8"/>
  <c r="Q16" i="8"/>
  <c r="R16" i="8"/>
  <c r="Q17" i="8"/>
  <c r="R17" i="8"/>
  <c r="Q18" i="8"/>
  <c r="R18" i="8"/>
  <c r="R19" i="8"/>
  <c r="Q19" i="8"/>
  <c r="R20" i="8"/>
  <c r="Q20" i="8"/>
  <c r="R21" i="8"/>
  <c r="Q21" i="8"/>
  <c r="Q22" i="8"/>
  <c r="R22" i="8"/>
  <c r="Q23" i="8"/>
  <c r="R23" i="8"/>
  <c r="R24" i="8"/>
  <c r="Q24" i="8"/>
  <c r="Q25" i="8"/>
  <c r="R25" i="8"/>
  <c r="Q26" i="8"/>
  <c r="R26" i="8"/>
  <c r="R27" i="8"/>
  <c r="Q27" i="8"/>
  <c r="R28" i="8"/>
  <c r="Q28" i="8"/>
  <c r="R29" i="8"/>
  <c r="Q29" i="8"/>
  <c r="R30" i="8"/>
  <c r="Q30" i="8"/>
  <c r="R31" i="8"/>
  <c r="Q31" i="8"/>
  <c r="Q32" i="8"/>
  <c r="R32" i="8"/>
  <c r="Q33" i="8"/>
  <c r="R33" i="8"/>
  <c r="R34" i="8"/>
  <c r="Q34" i="8"/>
  <c r="Q35" i="8"/>
  <c r="R35" i="8"/>
  <c r="Q36" i="8"/>
  <c r="R36" i="8"/>
  <c r="R37" i="8"/>
  <c r="Q37" i="8"/>
  <c r="R38" i="8"/>
  <c r="Q38" i="8"/>
  <c r="R39" i="8"/>
  <c r="Q39" i="8"/>
  <c r="Q40" i="8"/>
  <c r="R40" i="8"/>
  <c r="R41" i="8"/>
  <c r="Q41" i="8"/>
  <c r="Q42" i="8"/>
  <c r="R42" i="8"/>
  <c r="Q43" i="8"/>
  <c r="R43" i="8"/>
  <c r="Q44" i="8"/>
  <c r="R44" i="8"/>
  <c r="Q45" i="8"/>
  <c r="R45" i="8"/>
  <c r="R46" i="8"/>
  <c r="Q46" i="8"/>
  <c r="Q47" i="8"/>
  <c r="R47" i="8"/>
  <c r="Q48" i="8"/>
  <c r="R48" i="8"/>
  <c r="R49" i="8"/>
  <c r="Q49" i="8"/>
  <c r="R50" i="8"/>
  <c r="Q50" i="8"/>
  <c r="R51" i="8"/>
  <c r="Q51" i="8"/>
  <c r="R52" i="8"/>
  <c r="Q52" i="8"/>
  <c r="Q53" i="8"/>
  <c r="R53" i="8"/>
  <c r="Q54" i="8"/>
  <c r="R54" i="8"/>
  <c r="Q55" i="8"/>
  <c r="R55" i="8"/>
  <c r="R56" i="8"/>
  <c r="Q56" i="8"/>
  <c r="Q57" i="8"/>
  <c r="R57" i="8"/>
  <c r="Q58" i="8"/>
  <c r="R58" i="8"/>
  <c r="S58" i="8"/>
  <c r="Q59" i="8"/>
  <c r="S59" i="8"/>
  <c r="R59" i="8"/>
  <c r="G21" i="7"/>
  <c r="G22" i="7"/>
  <c r="O23" i="4"/>
  <c r="B22" i="7"/>
  <c r="AF2" i="7" a="1"/>
  <c r="O31" i="8"/>
  <c r="K12" i="8"/>
  <c r="A19" i="8"/>
  <c r="K11" i="8"/>
  <c r="F2" i="8"/>
  <c r="G25" i="7" a="1"/>
  <c r="N2" i="7"/>
  <c r="N5" i="7"/>
  <c r="N7" i="7"/>
  <c r="N8" i="7"/>
  <c r="N9" i="7"/>
  <c r="N11" i="7"/>
  <c r="N12" i="7"/>
  <c r="N14" i="7"/>
  <c r="N15" i="7"/>
  <c r="N17" i="7"/>
  <c r="N21" i="7"/>
  <c r="N24" i="7"/>
  <c r="N29" i="7"/>
  <c r="N32" i="7"/>
  <c r="N34" i="7"/>
  <c r="N3" i="7"/>
  <c r="N10" i="7"/>
  <c r="N13" i="7"/>
  <c r="N16" i="7"/>
  <c r="N19" i="7"/>
  <c r="N22" i="7"/>
  <c r="N25" i="7"/>
  <c r="N28" i="7"/>
  <c r="N33" i="7"/>
  <c r="N4" i="7"/>
  <c r="N20" i="7"/>
  <c r="N27" i="7"/>
  <c r="N30" i="7"/>
  <c r="N35" i="7"/>
  <c r="N6" i="7"/>
  <c r="N18" i="7"/>
  <c r="N23" i="7"/>
  <c r="N26" i="7"/>
  <c r="N31" i="7"/>
  <c r="N36" i="7"/>
  <c r="B34" i="7"/>
  <c r="O23" i="8"/>
  <c r="A5" i="7"/>
  <c r="O30" i="8"/>
  <c r="O28" i="8"/>
  <c r="AK2" i="8" l="1"/>
  <c r="AK1" i="8"/>
  <c r="D44" i="7"/>
  <c r="C41" i="7"/>
  <c r="E46" i="7"/>
  <c r="D46" i="7"/>
  <c r="C46" i="7"/>
  <c r="B46" i="7"/>
  <c r="E45" i="7"/>
  <c r="D45" i="7"/>
  <c r="B45" i="7"/>
  <c r="E44" i="7"/>
  <c r="C44" i="7"/>
  <c r="A44" i="7"/>
  <c r="E43" i="7"/>
  <c r="C43" i="7"/>
  <c r="A43" i="7"/>
  <c r="D42" i="7"/>
  <c r="A42" i="7"/>
  <c r="B41" i="7"/>
  <c r="A46" i="7"/>
  <c r="B44" i="7"/>
  <c r="D43" i="7"/>
  <c r="E42" i="7"/>
  <c r="B42" i="7"/>
  <c r="E41" i="7"/>
  <c r="A41" i="7"/>
  <c r="C45" i="7"/>
  <c r="A45" i="7"/>
  <c r="C42" i="7"/>
  <c r="D41" i="7"/>
  <c r="B43" i="7"/>
  <c r="B21" i="7"/>
  <c r="O29" i="8"/>
  <c r="A21" i="8" s="1" a="1"/>
  <c r="O24" i="4"/>
  <c r="B28" i="7"/>
  <c r="B27" i="7"/>
  <c r="A28" i="7"/>
  <c r="B26" i="7"/>
  <c r="A27" i="7"/>
  <c r="B25" i="7"/>
  <c r="A26" i="7"/>
  <c r="A25" i="7"/>
  <c r="T11" i="8" l="1" a="1"/>
  <c r="AF10" i="8" a="1"/>
  <c r="AG3" i="8" a="1"/>
  <c r="AF9" i="8" a="1"/>
  <c r="AG4" i="8" a="1"/>
  <c r="U11" i="8" a="1"/>
  <c r="AF2" i="8" a="1"/>
  <c r="AE5" i="8" a="1"/>
  <c r="AG2" i="8" a="1"/>
  <c r="AF4" i="8" a="1"/>
  <c r="AG5" i="8" a="1"/>
  <c r="U10" i="8" a="1"/>
  <c r="AE2" i="8" a="1"/>
  <c r="AE9" i="8" a="1"/>
  <c r="AF6" i="8" a="1"/>
  <c r="AG8" i="8" a="1"/>
  <c r="AG9" i="8" a="1"/>
  <c r="AE6" i="8" a="1"/>
  <c r="AF7" i="8" a="1"/>
  <c r="AG7" i="8" a="1"/>
  <c r="U12" i="8" a="1"/>
  <c r="AG10" i="8" a="1"/>
  <c r="AE4" i="8" a="1"/>
  <c r="AE10" i="8" a="1"/>
  <c r="AF5" i="8" a="1"/>
  <c r="AG6" i="8" a="1"/>
  <c r="T12" i="8" a="1"/>
  <c r="AE8" i="8" a="1"/>
  <c r="AE7" i="8" a="1"/>
  <c r="T10" i="8" a="1"/>
  <c r="AE3" i="8" a="1"/>
  <c r="AF8" i="8" a="1"/>
  <c r="AF3" i="8" a="1"/>
  <c r="X6" i="8" a="1"/>
  <c r="C37" i="7" s="1"/>
  <c r="T5" i="8" a="1"/>
  <c r="T2" i="8" a="1"/>
  <c r="U9" i="8" a="1"/>
  <c r="U4" i="8" a="1"/>
  <c r="U3" i="8" a="1"/>
  <c r="U2" i="8" a="1"/>
  <c r="X4" i="8" a="1"/>
  <c r="Q5" i="8" s="1"/>
  <c r="T9" i="8" a="1"/>
  <c r="T4" i="8" a="1"/>
  <c r="U5" i="8" a="1"/>
  <c r="X5" i="8" a="1"/>
  <c r="T3" i="8" a="1"/>
  <c r="Y11" i="8" l="1"/>
  <c r="Y9" i="8"/>
  <c r="Y6" i="8"/>
  <c r="Y7" i="8"/>
  <c r="Y8" i="8"/>
  <c r="Y10" i="8"/>
  <c r="Y12" i="8"/>
  <c r="Y5" i="8"/>
  <c r="F18" i="8"/>
  <c r="F14" i="8"/>
  <c r="F15" i="8"/>
  <c r="F16" i="8"/>
  <c r="F17" i="8"/>
  <c r="X8" i="8"/>
  <c r="X7" i="8"/>
  <c r="E37" i="7" s="1"/>
  <c r="A37" i="7"/>
  <c r="R5" i="8"/>
  <c r="Z11" i="8" l="1"/>
  <c r="AA11" i="8"/>
  <c r="AB11" i="8"/>
  <c r="AB9" i="8"/>
  <c r="Z9" i="8"/>
  <c r="AA9" i="8"/>
  <c r="Z6" i="8"/>
  <c r="AB6" i="8"/>
  <c r="AA6" i="8"/>
  <c r="Z7" i="8"/>
  <c r="AB7" i="8"/>
  <c r="AA7" i="8"/>
  <c r="AB8" i="8"/>
  <c r="AA8" i="8"/>
  <c r="Z8" i="8"/>
  <c r="AB10" i="8"/>
  <c r="Z10" i="8"/>
  <c r="AA10" i="8"/>
  <c r="AB12" i="8"/>
  <c r="Z12" i="8"/>
  <c r="AA12" i="8"/>
  <c r="AB5" i="8"/>
  <c r="AA5" i="8"/>
  <c r="Z5" i="8"/>
  <c r="H18" i="8"/>
  <c r="G18" i="8"/>
  <c r="H14" i="8"/>
  <c r="G14" i="8"/>
  <c r="H15" i="8"/>
  <c r="G15" i="8"/>
  <c r="H16" i="8"/>
  <c r="G16" i="8"/>
  <c r="H17" i="8"/>
  <c r="G17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<sst xmlns="http://schemas.openxmlformats.org/spreadsheetml/2006/main" count="2232" uniqueCount="993">
  <si>
    <t>Business Management System</t>
  </si>
  <si>
    <t>CUSTOMERS</t>
  </si>
  <si>
    <t>INVENTORY</t>
  </si>
  <si>
    <t>SALES</t>
  </si>
  <si>
    <t>PAYROLL</t>
  </si>
  <si>
    <t>REPORTS</t>
  </si>
  <si>
    <t>QUICK SUMMARY</t>
  </si>
  <si>
    <t>Employees</t>
  </si>
  <si>
    <t>Accounts</t>
  </si>
  <si>
    <t>🏢  MY ERP SYSTEM</t>
  </si>
  <si>
    <t>👥  EMPLOYEES          👤  CUSTOMERS</t>
  </si>
  <si>
    <t>📦  INVENTORY          🛒  SALES</t>
  </si>
  <si>
    <t>💰  PAYROLL            📊  DASHBOARD</t>
  </si>
  <si>
    <t>📄  REPORTS            ⚙️  SETTINGS</t>
  </si>
  <si>
    <t>Employees:  25          Customers:  120</t>
  </si>
  <si>
    <t>Products:   85          Today's Sales:  ₹25,500</t>
  </si>
  <si>
    <t>Employee Master</t>
  </si>
  <si>
    <t>Employee ID</t>
  </si>
  <si>
    <t>Employee Name</t>
  </si>
  <si>
    <t>Department</t>
  </si>
  <si>
    <t>Designation</t>
  </si>
  <si>
    <t>Joining Date</t>
  </si>
  <si>
    <t>Basic Salary</t>
  </si>
  <si>
    <t>Phone</t>
  </si>
  <si>
    <t>Email</t>
  </si>
  <si>
    <t>Status</t>
  </si>
  <si>
    <t>EMP001</t>
  </si>
  <si>
    <t>Rahul Sharma</t>
  </si>
  <si>
    <t>Accountant</t>
  </si>
  <si>
    <t>98XXXXXXXX</t>
  </si>
  <si>
    <t>rahul@email.com</t>
  </si>
  <si>
    <t>Active</t>
  </si>
  <si>
    <t>EMP002</t>
  </si>
  <si>
    <t>Aman Verma</t>
  </si>
  <si>
    <t>Sales</t>
  </si>
  <si>
    <t>Sales Executive</t>
  </si>
  <si>
    <t>97XXXXXXXX</t>
  </si>
  <si>
    <t>aman@email.com</t>
  </si>
  <si>
    <t>EMP003</t>
  </si>
  <si>
    <t>Priya Singh</t>
  </si>
  <si>
    <t>HR</t>
  </si>
  <si>
    <t>HR Executive</t>
  </si>
  <si>
    <t>96XXXXXXXX</t>
  </si>
  <si>
    <t>priya@email.com</t>
  </si>
  <si>
    <t>EMP004</t>
  </si>
  <si>
    <t>Vikram Patel</t>
  </si>
  <si>
    <t>Inventory</t>
  </si>
  <si>
    <t>Store Manager</t>
  </si>
  <si>
    <t>95XXXXXXXX</t>
  </si>
  <si>
    <t>vikram@email.com</t>
  </si>
  <si>
    <t>EMP005</t>
  </si>
  <si>
    <t>Neha Gupta</t>
  </si>
  <si>
    <t>Accounts Assistant</t>
  </si>
  <si>
    <t>94XXXXXXXX</t>
  </si>
  <si>
    <t>neha@email.com</t>
  </si>
  <si>
    <t>EMP006</t>
  </si>
  <si>
    <t>Rohit Mehta</t>
  </si>
  <si>
    <t>Sales Manager</t>
  </si>
  <si>
    <t>93XXXXXXXX</t>
  </si>
  <si>
    <t>rohit@email.com</t>
  </si>
  <si>
    <t>EMP007</t>
  </si>
  <si>
    <t>Anjali Nair</t>
  </si>
  <si>
    <t>Payroll</t>
  </si>
  <si>
    <t>Payroll Officer</t>
  </si>
  <si>
    <t>92XXXXXXXX</t>
  </si>
  <si>
    <t>anjali@email.com</t>
  </si>
  <si>
    <t>EMP008</t>
  </si>
  <si>
    <t>Suresh Reddy</t>
  </si>
  <si>
    <t>Warehouse Executive</t>
  </si>
  <si>
    <t>91XXXXXXXX</t>
  </si>
  <si>
    <t>suresh@email.com</t>
  </si>
  <si>
    <t>Inactive</t>
  </si>
  <si>
    <t>EMP009</t>
  </si>
  <si>
    <t>Kavita Joshi</t>
  </si>
  <si>
    <t>Senior Accountant</t>
  </si>
  <si>
    <t>90XXXXXXXX</t>
  </si>
  <si>
    <t>kavita@email.com</t>
  </si>
  <si>
    <t>EMP010</t>
  </si>
  <si>
    <t>Deepak Kumar</t>
  </si>
  <si>
    <t>89XXXXXXXX</t>
  </si>
  <si>
    <t>deepak@email.com</t>
  </si>
  <si>
    <t>EMP011</t>
  </si>
  <si>
    <t>Meera Iyer</t>
  </si>
  <si>
    <t>Recruiter</t>
  </si>
  <si>
    <t>88XXXXXXXX</t>
  </si>
  <si>
    <t>meera@email.com</t>
  </si>
  <si>
    <t>EMP012</t>
  </si>
  <si>
    <t>Arjun Malhotra</t>
  </si>
  <si>
    <t>Purchase Executive</t>
  </si>
  <si>
    <t>87XXXXXXXX</t>
  </si>
  <si>
    <t>arjun@email.com</t>
  </si>
  <si>
    <t>EMP013</t>
  </si>
  <si>
    <t>Pooja Desai</t>
  </si>
  <si>
    <t>Cashier</t>
  </si>
  <si>
    <t>86XXXXXXXX</t>
  </si>
  <si>
    <t>pooja@email.com</t>
  </si>
  <si>
    <t>EMP014</t>
  </si>
  <si>
    <t>Nikhil Rao</t>
  </si>
  <si>
    <t>Business Development</t>
  </si>
  <si>
    <t>85XXXXXXXX</t>
  </si>
  <si>
    <t>nikhil@email.com</t>
  </si>
  <si>
    <t>EMP015</t>
  </si>
  <si>
    <t>Sneha Kulkarni</t>
  </si>
  <si>
    <t>Payroll Assistant</t>
  </si>
  <si>
    <t>84XXXXXXXX</t>
  </si>
  <si>
    <t>sneha@email.com</t>
  </si>
  <si>
    <t>EMP016</t>
  </si>
  <si>
    <t>Manish Tiwari</t>
  </si>
  <si>
    <t>Store Keeper</t>
  </si>
  <si>
    <t>83XXXXXXXX</t>
  </si>
  <si>
    <t>manish@email.com</t>
  </si>
  <si>
    <t>EMP017</t>
  </si>
  <si>
    <t>Ritu Chauhan</t>
  </si>
  <si>
    <t>HR Manager</t>
  </si>
  <si>
    <t>82XXXXXXXX</t>
  </si>
  <si>
    <t>ritu@email.com</t>
  </si>
  <si>
    <t>EMP018</t>
  </si>
  <si>
    <t>Sanjay Gupta</t>
  </si>
  <si>
    <t>81XXXXXXXX</t>
  </si>
  <si>
    <t>sanjay@email.com</t>
  </si>
  <si>
    <t>EMP019</t>
  </si>
  <si>
    <t>Divya Menon</t>
  </si>
  <si>
    <t>80XXXXXXXX</t>
  </si>
  <si>
    <t>divya@email.com</t>
  </si>
  <si>
    <t>EMP020</t>
  </si>
  <si>
    <t>Karan Singh</t>
  </si>
  <si>
    <t>Logistics Executive</t>
  </si>
  <si>
    <t>79XXXXXXXX</t>
  </si>
  <si>
    <t>karan@email.com</t>
  </si>
  <si>
    <t>EMP021</t>
  </si>
  <si>
    <t>Ananya Bose</t>
  </si>
  <si>
    <t>Training Coordinator</t>
  </si>
  <si>
    <t>78XXXXXXXX</t>
  </si>
  <si>
    <t>ananya@email.com</t>
  </si>
  <si>
    <t>EMP022</t>
  </si>
  <si>
    <t>Vivek Sharma</t>
  </si>
  <si>
    <t>Telecaller</t>
  </si>
  <si>
    <t>77XXXXXXXX</t>
  </si>
  <si>
    <t>vivek@email.com</t>
  </si>
  <si>
    <t>EMP023</t>
  </si>
  <si>
    <t>Shalini Pandey</t>
  </si>
  <si>
    <t>Compliance Executive</t>
  </si>
  <si>
    <t>76XXXXXXXX</t>
  </si>
  <si>
    <t>shalini@email.com</t>
  </si>
  <si>
    <t>EMP024</t>
  </si>
  <si>
    <t>Harsh Vardhan</t>
  </si>
  <si>
    <t>Inventory Clerk</t>
  </si>
  <si>
    <t>75XXXXXXXX</t>
  </si>
  <si>
    <t>harsh@email.com</t>
  </si>
  <si>
    <t>EMP025</t>
  </si>
  <si>
    <t>Nisha Agarwal</t>
  </si>
  <si>
    <t>Finance Executive</t>
  </si>
  <si>
    <t>74XXXXXXXX</t>
  </si>
  <si>
    <t>nisha@email.com</t>
  </si>
  <si>
    <t>2026-03-31T18:30:00.000Z</t>
  </si>
  <si>
    <t>2026-04-14T18:30:00.000Z</t>
  </si>
  <si>
    <t>2026-05-01T18:30:00.000Z</t>
  </si>
  <si>
    <t>2026-05-09T18:30:00.000Z</t>
  </si>
  <si>
    <t>2026-05-17T18:30:00.000Z</t>
  </si>
  <si>
    <t>2026-05-31T18:30:00.000Z</t>
  </si>
  <si>
    <t>2026-06-11T18:30:00.000Z</t>
  </si>
  <si>
    <t>2026-06-19T18:30:00.000Z</t>
  </si>
  <si>
    <t>2026-06-30T18:30:00.000Z</t>
  </si>
  <si>
    <t>2026-07-07T18:30:00.000Z</t>
  </si>
  <si>
    <t>2026-07-14T18:30:00.000Z</t>
  </si>
  <si>
    <t>2026-07-21T18:30:00.000Z</t>
  </si>
  <si>
    <t>2026-07-31T18:30:00.000Z</t>
  </si>
  <si>
    <t>2026-08-09T18:30:00.000Z</t>
  </si>
  <si>
    <t>2026-08-17T18:30:00.000Z</t>
  </si>
  <si>
    <t>2026-08-24T18:30:00.000Z</t>
  </si>
  <si>
    <t>2026-08-31T18:30:00.000Z</t>
  </si>
  <si>
    <t>2026-09-07T18:30:00.000Z</t>
  </si>
  <si>
    <t>2026-09-11T18:30:00.000Z</t>
  </si>
  <si>
    <t>2026-09-14T18:30:00.000Z</t>
  </si>
  <si>
    <t>2026-09-17T18:30:00.000Z</t>
  </si>
  <si>
    <t>2026-09-19T18:30:00.000Z</t>
  </si>
  <si>
    <t>2026-09-21T18:30:00.000Z</t>
  </si>
  <si>
    <t>2026-09-23T18:30:00.000Z</t>
  </si>
  <si>
    <t>2026-09-24T18:30:00.000Z</t>
  </si>
  <si>
    <t>Customer Master</t>
  </si>
  <si>
    <t>Customer ID</t>
  </si>
  <si>
    <t>Customer Name</t>
  </si>
  <si>
    <t>Address</t>
  </si>
  <si>
    <t>Registration Date</t>
  </si>
  <si>
    <t>Total Purchases</t>
  </si>
  <si>
    <t>Last Purchase</t>
  </si>
  <si>
    <t>CUST001</t>
  </si>
  <si>
    <t>Rajesh Khanna</t>
  </si>
  <si>
    <t>rajesh@email.com</t>
  </si>
  <si>
    <t>12 MG Road, Pune</t>
  </si>
  <si>
    <t>2025-01-11T18:30:00.000Z</t>
  </si>
  <si>
    <t>CUST002</t>
  </si>
  <si>
    <t>Sunita Rao</t>
  </si>
  <si>
    <t>sunita@email.com</t>
  </si>
  <si>
    <t>44 FC Road, Pune</t>
  </si>
  <si>
    <t>2025-01-19T18:30:00.000Z</t>
  </si>
  <si>
    <t>2026-09-09T18:30:00.000Z</t>
  </si>
  <si>
    <t>CUST003</t>
  </si>
  <si>
    <t>Imran Sheikh</t>
  </si>
  <si>
    <t>imran@email.com</t>
  </si>
  <si>
    <t>8 Camp, Pune</t>
  </si>
  <si>
    <t>2025-02-02T18:30:00.000Z</t>
  </si>
  <si>
    <t>2026-08-21T18:30:00.000Z</t>
  </si>
  <si>
    <t>CUST004</t>
  </si>
  <si>
    <t>Lakshmi Iyer</t>
  </si>
  <si>
    <t>lakshmi@email.com</t>
  </si>
  <si>
    <t>21 Koregaon Park, Pune</t>
  </si>
  <si>
    <t>2025-02-13T18:30:00.000Z</t>
  </si>
  <si>
    <t>CUST005</t>
  </si>
  <si>
    <t>Gaurav Jain</t>
  </si>
  <si>
    <t>gaurav@email.com</t>
  </si>
  <si>
    <t>5 Aundh, Pune</t>
  </si>
  <si>
    <t>2025-02-27T18:30:00.000Z</t>
  </si>
  <si>
    <t>CUST006</t>
  </si>
  <si>
    <t>Farhan Qureshi</t>
  </si>
  <si>
    <t>farhan@email.com</t>
  </si>
  <si>
    <t>19 Kothrud, Pune</t>
  </si>
  <si>
    <t>2025-03-07T18:30:00.000Z</t>
  </si>
  <si>
    <t>CUST007</t>
  </si>
  <si>
    <t>Meenakshi Pillai</t>
  </si>
  <si>
    <t>meenakshi@email.com</t>
  </si>
  <si>
    <t>33 Baner, Pune</t>
  </si>
  <si>
    <t>2025-03-18T18:30:00.000Z</t>
  </si>
  <si>
    <t>CUST008</t>
  </si>
  <si>
    <t>Tarun Bansal</t>
  </si>
  <si>
    <t>tarun@email.com</t>
  </si>
  <si>
    <t>7 Wakad, Pune</t>
  </si>
  <si>
    <t>2025-04-01T18:30:00.000Z</t>
  </si>
  <si>
    <t>2026-09-15T18:30:00.000Z</t>
  </si>
  <si>
    <t>CUST009</t>
  </si>
  <si>
    <t>Smita Kulkarni</t>
  </si>
  <si>
    <t>smita@email.com</t>
  </si>
  <si>
    <t>16 Deccan, Pune</t>
  </si>
  <si>
    <t>2025-04-10T18:30:00.000Z</t>
  </si>
  <si>
    <t>CUST010</t>
  </si>
  <si>
    <t>Yogesh Patil</t>
  </si>
  <si>
    <t>yogesh@email.com</t>
  </si>
  <si>
    <t>52 Hadapsar, Pune</t>
  </si>
  <si>
    <t>2025-04-24T18:30:00.000Z</t>
  </si>
  <si>
    <t>CUST011</t>
  </si>
  <si>
    <t>Ankit Bhatt</t>
  </si>
  <si>
    <t>ankit@email.com</t>
  </si>
  <si>
    <t>3 Viman Nagar, Pune</t>
  </si>
  <si>
    <t>2025-05-05T18:30:00.000Z</t>
  </si>
  <si>
    <t>CUST012</t>
  </si>
  <si>
    <t>Rashmi Deshmukh</t>
  </si>
  <si>
    <t>rashmi@email.com</t>
  </si>
  <si>
    <t>28 Shivaji Nagar, Pune</t>
  </si>
  <si>
    <t>2025-05-17T18:30:00.000Z</t>
  </si>
  <si>
    <t>2026-09-13T18:30:00.000Z</t>
  </si>
  <si>
    <t>CUST013</t>
  </si>
  <si>
    <t>Mohit Saxena</t>
  </si>
  <si>
    <t>mohit@email.com</t>
  </si>
  <si>
    <t>9 Hinjewadi, Pune</t>
  </si>
  <si>
    <t>2025-05-31T18:30:00.000Z</t>
  </si>
  <si>
    <t>CUST014</t>
  </si>
  <si>
    <t>Pallavi More</t>
  </si>
  <si>
    <t>pallavi@email.com</t>
  </si>
  <si>
    <t>14 Kalyani Nagar, Pune</t>
  </si>
  <si>
    <t>2025-06-14T18:30:00.000Z</t>
  </si>
  <si>
    <t>2026-09-10T18:30:00.000Z</t>
  </si>
  <si>
    <t>CUST015</t>
  </si>
  <si>
    <t>Aditya Kulkarni</t>
  </si>
  <si>
    <t>aditya@email.com</t>
  </si>
  <si>
    <t>61 Sinhagad Road, Pune</t>
  </si>
  <si>
    <t>2025-06-26T18:30:00.000Z</t>
  </si>
  <si>
    <t>2026-09-20T18:30:00.000Z</t>
  </si>
  <si>
    <t>CUST016</t>
  </si>
  <si>
    <t>Nandini Shah</t>
  </si>
  <si>
    <t>nandini@email.com</t>
  </si>
  <si>
    <t>2 Law College Road, Pune</t>
  </si>
  <si>
    <t>2025-07-03T18:30:00.000Z</t>
  </si>
  <si>
    <t>CUST017</t>
  </si>
  <si>
    <t>Pranav Joshi</t>
  </si>
  <si>
    <t>pranav@email.com</t>
  </si>
  <si>
    <t>18 Bavdhan, Pune</t>
  </si>
  <si>
    <t>2025-07-15T18:30:00.000Z</t>
  </si>
  <si>
    <t>2026-09-08T18:30:00.000Z</t>
  </si>
  <si>
    <t>CUST018</t>
  </si>
  <si>
    <t>Ishita Kapoor</t>
  </si>
  <si>
    <t>ishita@email.com</t>
  </si>
  <si>
    <t>25 Model Colony, Pune</t>
  </si>
  <si>
    <t>2025-07-28T18:30:00.000Z</t>
  </si>
  <si>
    <t>CUST019</t>
  </si>
  <si>
    <t>Siddharth Nair</t>
  </si>
  <si>
    <t>siddharth@email.com</t>
  </si>
  <si>
    <t>6 Kharadi, Pune</t>
  </si>
  <si>
    <t>2025-08-07T18:30:00.000Z</t>
  </si>
  <si>
    <t>2026-09-18T18:30:00.000Z</t>
  </si>
  <si>
    <t>CUST020</t>
  </si>
  <si>
    <t>Komal Pawar</t>
  </si>
  <si>
    <t>komal@email.com</t>
  </si>
  <si>
    <t>41 Dhankawadi, Pune</t>
  </si>
  <si>
    <t>2025-08-20T18:30:00.000Z</t>
  </si>
  <si>
    <t>CUST021</t>
  </si>
  <si>
    <t>Varun Chawla</t>
  </si>
  <si>
    <t>varun@email.com</t>
  </si>
  <si>
    <t>11 Magarpatta, Pune</t>
  </si>
  <si>
    <t>2025-09-01T18:30:00.000Z</t>
  </si>
  <si>
    <t>2026-09-06T18:30:00.000Z</t>
  </si>
  <si>
    <t>CUST022</t>
  </si>
  <si>
    <t>Aisha Khan</t>
  </si>
  <si>
    <t>aisha@email.com</t>
  </si>
  <si>
    <t>30 Camp Area, Pune</t>
  </si>
  <si>
    <t>2025-09-13T18:30:00.000Z</t>
  </si>
  <si>
    <t>2026-09-02T18:30:00.000Z</t>
  </si>
  <si>
    <t>CUST023</t>
  </si>
  <si>
    <t>Rakesh Yadav</t>
  </si>
  <si>
    <t>rakesh@email.com</t>
  </si>
  <si>
    <t>4 Pimpri, Pune</t>
  </si>
  <si>
    <t>2025-09-25T18:30:00.000Z</t>
  </si>
  <si>
    <t>CUST024</t>
  </si>
  <si>
    <t>Tanvi Gokhale</t>
  </si>
  <si>
    <t>tanvi@email.com</t>
  </si>
  <si>
    <t>22 Kothrud Depot, Pune</t>
  </si>
  <si>
    <t>2025-10-04T18:30:00.000Z</t>
  </si>
  <si>
    <t>2026-09-16T18:30:00.000Z</t>
  </si>
  <si>
    <t>CUST025</t>
  </si>
  <si>
    <t>Harshit Dubey</t>
  </si>
  <si>
    <t>harshit@email.com</t>
  </si>
  <si>
    <t>15 Nigdi, Pune</t>
  </si>
  <si>
    <t>2025-10-17T18:30:00.000Z</t>
  </si>
  <si>
    <t>CUST026</t>
  </si>
  <si>
    <t>Sonal Bhave</t>
  </si>
  <si>
    <t>73XXXXXXXX</t>
  </si>
  <si>
    <t>sonal@email.com</t>
  </si>
  <si>
    <t>8 Senapati Bapat Road, Pune</t>
  </si>
  <si>
    <t>2025-10-28T18:30:00.000Z</t>
  </si>
  <si>
    <t>2026-09-05T18:30:00.000Z</t>
  </si>
  <si>
    <t>CUST027</t>
  </si>
  <si>
    <t>Abhay Kulkarni</t>
  </si>
  <si>
    <t>72XXXXXXXX</t>
  </si>
  <si>
    <t>abhay@email.com</t>
  </si>
  <si>
    <t>37 Swargate, Pune</t>
  </si>
  <si>
    <t>2025-11-08T18:30:00.000Z</t>
  </si>
  <si>
    <t>CUST028</t>
  </si>
  <si>
    <t>Kritika Sharma</t>
  </si>
  <si>
    <t>71XXXXXXXX</t>
  </si>
  <si>
    <t>kritika@email.com</t>
  </si>
  <si>
    <t>13 Balewadi, Pune</t>
  </si>
  <si>
    <t>2025-11-19T18:30:00.000Z</t>
  </si>
  <si>
    <t>CUST029</t>
  </si>
  <si>
    <t>Devendra Rane</t>
  </si>
  <si>
    <t>70XXXXXXXX</t>
  </si>
  <si>
    <t>devendra@email.com</t>
  </si>
  <si>
    <t>27 Chinchwad, Pune</t>
  </si>
  <si>
    <t>2025-11-30T18:30:00.000Z</t>
  </si>
  <si>
    <t>CUST030</t>
  </si>
  <si>
    <t>Reena Dutta</t>
  </si>
  <si>
    <t>69XXXXXXXX</t>
  </si>
  <si>
    <t>reena@email.com</t>
  </si>
  <si>
    <t>10 Bund Garden, Pune</t>
  </si>
  <si>
    <t>2025-12-11T18:30:00.000Z</t>
  </si>
  <si>
    <t>2026-09-03T18:30:00.000Z</t>
  </si>
  <si>
    <t>CUST031</t>
  </si>
  <si>
    <t>Sameer Kulkarni</t>
  </si>
  <si>
    <t>68XXXXXXXX</t>
  </si>
  <si>
    <t>sameer@email.com</t>
  </si>
  <si>
    <t>46 Warje, Pune</t>
  </si>
  <si>
    <t>2026-01-04T18:30:00.000Z</t>
  </si>
  <si>
    <t>2026-09-12T18:30:00.000Z</t>
  </si>
  <si>
    <t>CUST032</t>
  </si>
  <si>
    <t>Bhavna Trivedi</t>
  </si>
  <si>
    <t>67XXXXXXXX</t>
  </si>
  <si>
    <t>bhavna@email.com</t>
  </si>
  <si>
    <t>5 Erandwane, Pune</t>
  </si>
  <si>
    <t>2026-01-15T18:30:00.000Z</t>
  </si>
  <si>
    <t>2026-08-29T18:30:00.000Z</t>
  </si>
  <si>
    <t>CUST033</t>
  </si>
  <si>
    <t>Nitin Pawar</t>
  </si>
  <si>
    <t>66XXXXXXXX</t>
  </si>
  <si>
    <t>nitin@email.com</t>
  </si>
  <si>
    <t>32 Katraj, Pune</t>
  </si>
  <si>
    <t>2026-01-27T18:30:00.000Z</t>
  </si>
  <si>
    <t>2026-07-20T18:30:00.000Z</t>
  </si>
  <si>
    <t>CUST034</t>
  </si>
  <si>
    <t>Shruti Bhandari</t>
  </si>
  <si>
    <t>65XXXXXXXX</t>
  </si>
  <si>
    <t>shruti@email.com</t>
  </si>
  <si>
    <t>17 Aundh Gaon, Pune</t>
  </si>
  <si>
    <t>2026-02-05T18:30:00.000Z</t>
  </si>
  <si>
    <t>CUST035</t>
  </si>
  <si>
    <t>Aakash Goyal</t>
  </si>
  <si>
    <t>64XXXXXXXX</t>
  </si>
  <si>
    <t>aakash@email.com</t>
  </si>
  <si>
    <t>9 Pashan, Pune</t>
  </si>
  <si>
    <t>2026-02-16T18:30:00.000Z</t>
  </si>
  <si>
    <t>2026-06-13T18:30:00.000Z</t>
  </si>
  <si>
    <t>CUST036</t>
  </si>
  <si>
    <t>Poonam Salvi</t>
  </si>
  <si>
    <t>63XXXXXXXX</t>
  </si>
  <si>
    <t>poonam@email.com</t>
  </si>
  <si>
    <t>24 Yerawada, Pune</t>
  </si>
  <si>
    <t>2026-02-25T18:30:00.000Z</t>
  </si>
  <si>
    <t>2026-09-01T18:30:00.000Z</t>
  </si>
  <si>
    <t>CUST037</t>
  </si>
  <si>
    <t>Rohini Kadam</t>
  </si>
  <si>
    <t>62XXXXXXXX</t>
  </si>
  <si>
    <t>rohini@email.com</t>
  </si>
  <si>
    <t>1 Shaniwar Peth, Pune</t>
  </si>
  <si>
    <t>2026-03-07T18:30:00.000Z</t>
  </si>
  <si>
    <t>CUST038</t>
  </si>
  <si>
    <t>Jatin Mehta</t>
  </si>
  <si>
    <t>61XXXXXXXX</t>
  </si>
  <si>
    <t>jatin@email.com</t>
  </si>
  <si>
    <t>20 Baner Pashan Link, Pune</t>
  </si>
  <si>
    <t>2026-03-18T18:30:00.000Z</t>
  </si>
  <si>
    <t>CUST039</t>
  </si>
  <si>
    <t>Swati Phadke</t>
  </si>
  <si>
    <t>60XXXXXXXX</t>
  </si>
  <si>
    <t>swati@email.com</t>
  </si>
  <si>
    <t>35 Kalyani Nagar West, Pune</t>
  </si>
  <si>
    <t>2026-03-29T18:30:00.000Z</t>
  </si>
  <si>
    <t>2026-09-04T18:30:00.000Z</t>
  </si>
  <si>
    <t>CUST040</t>
  </si>
  <si>
    <t>Arvind Kale</t>
  </si>
  <si>
    <t>59XXXXXXXX</t>
  </si>
  <si>
    <t>arvind@email.com</t>
  </si>
  <si>
    <t>6 Dhanori, Pune</t>
  </si>
  <si>
    <t>2026-04-07T18:30:00.000Z</t>
  </si>
  <si>
    <t>CUST041</t>
  </si>
  <si>
    <t>Nidhi Bansode</t>
  </si>
  <si>
    <t>58XXXXXXXX</t>
  </si>
  <si>
    <t>nidhi@email.com</t>
  </si>
  <si>
    <t>29 Hadapsar Gaon, Pune</t>
  </si>
  <si>
    <t>2026-04-17T18:30:00.000Z</t>
  </si>
  <si>
    <t>CUST042</t>
  </si>
  <si>
    <t>Chetan Shinde</t>
  </si>
  <si>
    <t>57XXXXXXXX</t>
  </si>
  <si>
    <t>chetan@email.com</t>
  </si>
  <si>
    <t>14 Wakad Bridge, Pune</t>
  </si>
  <si>
    <t>2026-04-26T18:30:00.000Z</t>
  </si>
  <si>
    <t>CUST043</t>
  </si>
  <si>
    <t>Mitali Joshi</t>
  </si>
  <si>
    <t>56XXXXXXXX</t>
  </si>
  <si>
    <t>mitali@email.com</t>
  </si>
  <si>
    <t>42 Model Colony West, Pune</t>
  </si>
  <si>
    <t>2026-05-05T18:30:00.000Z</t>
  </si>
  <si>
    <t>CUST044</t>
  </si>
  <si>
    <t>Parth Desai</t>
  </si>
  <si>
    <t>55XXXXXXXX</t>
  </si>
  <si>
    <t>parth@email.com</t>
  </si>
  <si>
    <t>3 Hinjewadi Phase 2, Pune</t>
  </si>
  <si>
    <t>2026-05-14T18:30:00.000Z</t>
  </si>
  <si>
    <t>CUST045</t>
  </si>
  <si>
    <t>Gayatri More</t>
  </si>
  <si>
    <t>54XXXXXXXX</t>
  </si>
  <si>
    <t>gayatri@email.com</t>
  </si>
  <si>
    <t>18 Kharadi Bypass, Pune</t>
  </si>
  <si>
    <t>2026-05-23T18:30:00.000Z</t>
  </si>
  <si>
    <t>CUST046</t>
  </si>
  <si>
    <t>Rishi Agarwal</t>
  </si>
  <si>
    <t>53XXXXXXXX</t>
  </si>
  <si>
    <t>rishi@email.com</t>
  </si>
  <si>
    <t>7 Bund Garden Road, Pune</t>
  </si>
  <si>
    <t>2026-06-02T18:30:00.000Z</t>
  </si>
  <si>
    <t>CUST047</t>
  </si>
  <si>
    <t>Anushka Patil</t>
  </si>
  <si>
    <t>52XXXXXXXX</t>
  </si>
  <si>
    <t>anushka@email.com</t>
  </si>
  <si>
    <t>23 Baner Road, Pune</t>
  </si>
  <si>
    <t>CUST048</t>
  </si>
  <si>
    <t>Vikas Chavan</t>
  </si>
  <si>
    <t>51XXXXXXXX</t>
  </si>
  <si>
    <t>vikas@email.com</t>
  </si>
  <si>
    <t>31 Pimpri Colony, Pune</t>
  </si>
  <si>
    <t>2026-06-24T18:30:00.000Z</t>
  </si>
  <si>
    <t>CUST049</t>
  </si>
  <si>
    <t>Heena Shaikh</t>
  </si>
  <si>
    <t>50XXXXXXXX</t>
  </si>
  <si>
    <t>heena@email.com</t>
  </si>
  <si>
    <t>12 Camp Market, Pune</t>
  </si>
  <si>
    <t>2026-07-05T18:30:00.000Z</t>
  </si>
  <si>
    <t>CUST050</t>
  </si>
  <si>
    <t>Omkar Jadhav</t>
  </si>
  <si>
    <t>49XXXXXXXX</t>
  </si>
  <si>
    <t>omkar@email.com</t>
  </si>
  <si>
    <t>26 Magarpatta City, Pune</t>
  </si>
  <si>
    <t>2026-07-15T18:30:00.000Z</t>
  </si>
  <si>
    <t>Inventory Master</t>
  </si>
  <si>
    <t>Product ID</t>
  </si>
  <si>
    <t>Product Name</t>
  </si>
  <si>
    <t>Category</t>
  </si>
  <si>
    <t>Supplier</t>
  </si>
  <si>
    <t>Purchase Price</t>
  </si>
  <si>
    <t>Selling Price</t>
  </si>
  <si>
    <t>Opening Stock</t>
  </si>
  <si>
    <t>Stock In</t>
  </si>
  <si>
    <t>Stock Out</t>
  </si>
  <si>
    <t>Current Stock</t>
  </si>
  <si>
    <t>Reorder Level</t>
  </si>
  <si>
    <t>Stock Status</t>
  </si>
  <si>
    <t>P001</t>
  </si>
  <si>
    <t>Laptop</t>
  </si>
  <si>
    <t>Electronics</t>
  </si>
  <si>
    <t>ABC Ltd</t>
  </si>
  <si>
    <t>P002</t>
  </si>
  <si>
    <t>Keyboard</t>
  </si>
  <si>
    <t>Accessories</t>
  </si>
  <si>
    <t>XYZ Ltd</t>
  </si>
  <si>
    <t>P003</t>
  </si>
  <si>
    <t>Mouse</t>
  </si>
  <si>
    <t>P004</t>
  </si>
  <si>
    <t>Monitor 24in</t>
  </si>
  <si>
    <t>P005</t>
  </si>
  <si>
    <t>USB Hub</t>
  </si>
  <si>
    <t>P006</t>
  </si>
  <si>
    <t>Office Chair</t>
  </si>
  <si>
    <t>Furniture</t>
  </si>
  <si>
    <t>HomeStyle Co</t>
  </si>
  <si>
    <t>P007</t>
  </si>
  <si>
    <t>A4 Paper Ream</t>
  </si>
  <si>
    <t>Stationery</t>
  </si>
  <si>
    <t>PaperMart</t>
  </si>
  <si>
    <t>P008</t>
  </si>
  <si>
    <t>Laser Printer</t>
  </si>
  <si>
    <t>P009</t>
  </si>
  <si>
    <t>HDMI Cable</t>
  </si>
  <si>
    <t>P010</t>
  </si>
  <si>
    <t>Desk Lamp</t>
  </si>
  <si>
    <t>P011</t>
  </si>
  <si>
    <t>Webcam HD</t>
  </si>
  <si>
    <t>P012</t>
  </si>
  <si>
    <t>Pen Drive 64GB</t>
  </si>
  <si>
    <t>P013</t>
  </si>
  <si>
    <t>Filing Cabinet</t>
  </si>
  <si>
    <t>P014</t>
  </si>
  <si>
    <t>Stapler</t>
  </si>
  <si>
    <t>P015</t>
  </si>
  <si>
    <t>Router Dual Band</t>
  </si>
  <si>
    <t>Networking</t>
  </si>
  <si>
    <t>NetLink</t>
  </si>
  <si>
    <t>P016</t>
  </si>
  <si>
    <t>Laptop Bag</t>
  </si>
  <si>
    <t>P017</t>
  </si>
  <si>
    <t>SSD 512GB</t>
  </si>
  <si>
    <t>P018</t>
  </si>
  <si>
    <t>Whiteboard</t>
  </si>
  <si>
    <t>P019</t>
  </si>
  <si>
    <t>Ink Cartridge</t>
  </si>
  <si>
    <t>P020</t>
  </si>
  <si>
    <t>Switch 8-Port</t>
  </si>
  <si>
    <t>P021</t>
  </si>
  <si>
    <t>Headphones</t>
  </si>
  <si>
    <t>P022</t>
  </si>
  <si>
    <t>Desktop PC</t>
  </si>
  <si>
    <t>P023</t>
  </si>
  <si>
    <t>Conference Table</t>
  </si>
  <si>
    <t>P024</t>
  </si>
  <si>
    <t>Marker Pack</t>
  </si>
  <si>
    <t>P025</t>
  </si>
  <si>
    <t>LAN Cable Cat6</t>
  </si>
  <si>
    <t>P026</t>
  </si>
  <si>
    <t>Power Bank</t>
  </si>
  <si>
    <t>P027</t>
  </si>
  <si>
    <t>UPS 600VA</t>
  </si>
  <si>
    <t>P028</t>
  </si>
  <si>
    <t>Visitor Chair</t>
  </si>
  <si>
    <t>P029</t>
  </si>
  <si>
    <t>Notebook Pack</t>
  </si>
  <si>
    <t>P030</t>
  </si>
  <si>
    <t>WiFi Adapter</t>
  </si>
  <si>
    <t>P031</t>
  </si>
  <si>
    <t>Wireless Mouse</t>
  </si>
  <si>
    <t>P032</t>
  </si>
  <si>
    <t>Tablet 10in</t>
  </si>
  <si>
    <t>P033</t>
  </si>
  <si>
    <t>Bookshelf</t>
  </si>
  <si>
    <t>P034</t>
  </si>
  <si>
    <t>Toner Cartridge</t>
  </si>
  <si>
    <t>P035</t>
  </si>
  <si>
    <t>Access Point</t>
  </si>
  <si>
    <t>P036</t>
  </si>
  <si>
    <t>Laptop Stand</t>
  </si>
  <si>
    <t>P037</t>
  </si>
  <si>
    <t>Scanner</t>
  </si>
  <si>
    <t>P038</t>
  </si>
  <si>
    <t>Storage Rack</t>
  </si>
  <si>
    <t>P039</t>
  </si>
  <si>
    <t>Envelope Box</t>
  </si>
  <si>
    <t>P040</t>
  </si>
  <si>
    <t>Patch Panel</t>
  </si>
  <si>
    <t>P041</t>
  </si>
  <si>
    <t>Bluetooth Speaker</t>
  </si>
  <si>
    <t>P042</t>
  </si>
  <si>
    <t>External HDD 1TB</t>
  </si>
  <si>
    <t>P043</t>
  </si>
  <si>
    <t>Reception Desk</t>
  </si>
  <si>
    <t>P044</t>
  </si>
  <si>
    <t>Highlighter Set</t>
  </si>
  <si>
    <t>P045</t>
  </si>
  <si>
    <t>Network Cabinet</t>
  </si>
  <si>
    <t>P046</t>
  </si>
  <si>
    <t>Webcam Tripod</t>
  </si>
  <si>
    <t>P047</t>
  </si>
  <si>
    <t>Projector</t>
  </si>
  <si>
    <t>P048</t>
  </si>
  <si>
    <t>Side Table</t>
  </si>
  <si>
    <t>P049</t>
  </si>
  <si>
    <t>Punching Machine</t>
  </si>
  <si>
    <t>P050</t>
  </si>
  <si>
    <t>PoE Injector</t>
  </si>
  <si>
    <t>Sales Register</t>
  </si>
  <si>
    <t>Sale ID</t>
  </si>
  <si>
    <t>Sale Date</t>
  </si>
  <si>
    <t>Quantity</t>
  </si>
  <si>
    <t>Unit Price</t>
  </si>
  <si>
    <t>Total Amount</t>
  </si>
  <si>
    <t>Payment Method</t>
  </si>
  <si>
    <t>Salesperson</t>
  </si>
  <si>
    <t>S001</t>
  </si>
  <si>
    <t>Amit Kumar</t>
  </si>
  <si>
    <t>UPI</t>
  </si>
  <si>
    <t>Completed</t>
  </si>
  <si>
    <t>S002</t>
  </si>
  <si>
    <t>Neha Sharma</t>
  </si>
  <si>
    <t>Cash</t>
  </si>
  <si>
    <t>S003</t>
  </si>
  <si>
    <t>S004</t>
  </si>
  <si>
    <t>Card</t>
  </si>
  <si>
    <t>S005</t>
  </si>
  <si>
    <t>2026-09-22T18:30:00.000Z</t>
  </si>
  <si>
    <t>S006</t>
  </si>
  <si>
    <t>Bank Transfer</t>
  </si>
  <si>
    <t>S007</t>
  </si>
  <si>
    <t>S008</t>
  </si>
  <si>
    <t>S009</t>
  </si>
  <si>
    <t>S010</t>
  </si>
  <si>
    <t>S011</t>
  </si>
  <si>
    <t>S012</t>
  </si>
  <si>
    <t>S013</t>
  </si>
  <si>
    <t>Pending</t>
  </si>
  <si>
    <t>S014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</si>
  <si>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</si>
  <si>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</si>
  <si>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</si>
  <si>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</si>
  <si>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</si>
  <si>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</si>
  <si>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</si>
  <si>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</si>
  <si>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</si>
  <si>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</si>
  <si>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Cancelled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</si>
  <si>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</si>
  <si>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</si>
  <si>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</si>
  <si>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</si>
  <si>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</si>
  <si>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</si>
  <si>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</si>
  <si>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</si>
  <si>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</si>
  <si>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</si>
  <si>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</si>
  <si>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</si>
  <si>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</si>
  <si>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</si>
  <si>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S039</t>
  </si>
  <si>
    <t>S040</t>
  </si>
  <si>
    <t>S041</t>
  </si>
  <si>
    <t>S042</t>
  </si>
  <si>
    <t>S043</t>
  </si>
  <si>
    <t>S044</t>
  </si>
  <si>
    <t>S045</t>
  </si>
  <si>
    <t>S046</t>
  </si>
  <si>
    <t>S047</t>
  </si>
  <si>
    <t>S048</t>
  </si>
  <si>
    <t>S049</t>
  </si>
  <si>
    <t>S050</t>
  </si>
  <si>
    <t>Payroll Register</t>
  </si>
  <si>
    <t>Payroll ID</t>
  </si>
  <si>
    <t>Month</t>
  </si>
  <si>
    <t>Working Days</t>
  </si>
  <si>
    <t>Present Days</t>
  </si>
  <si>
    <t>Overtime</t>
  </si>
  <si>
    <t>Allowances</t>
  </si>
  <si>
    <t>Deductions</t>
  </si>
  <si>
    <t>Net Salary</t>
  </si>
  <si>
    <t>Payment Status</t>
  </si>
  <si>
    <t>PAY001</t>
  </si>
  <si>
    <t>Paid</t>
  </si>
  <si>
    <t>PAY002</t>
  </si>
  <si>
    <t>PAY003</t>
  </si>
  <si>
    <t>PAY004</t>
  </si>
  <si>
    <t>PAY005</t>
  </si>
  <si>
    <t>PAY006</t>
  </si>
  <si>
    <t>PAY007</t>
  </si>
  <si>
    <t>PAY008</t>
  </si>
  <si>
    <t>Unpaid</t>
  </si>
  <si>
    <t>PAY009</t>
  </si>
  <si>
    <t>PAY010</t>
  </si>
  <si>
    <t>PAY011</t>
  </si>
  <si>
    <t>PAY012</t>
  </si>
  <si>
    <t>PAY013</t>
  </si>
  <si>
    <t>PAY014</t>
  </si>
  <si>
    <t>PAY015</t>
  </si>
  <si>
    <t>PAY016</t>
  </si>
  <si>
    <t>PAY017</t>
  </si>
  <si>
    <t>PAY018</t>
  </si>
  <si>
    <t>PAY019</t>
  </si>
  <si>
    <t>PAY020</t>
  </si>
  <si>
    <t>PAY021</t>
  </si>
  <si>
    <t>PAY022</t>
  </si>
  <si>
    <t>PAY023</t>
  </si>
  <si>
    <t>PAY024</t>
  </si>
  <si>
    <t>PAY025</t>
  </si>
  <si>
    <t>PAY026</t>
  </si>
  <si>
    <t>PAY027</t>
  </si>
  <si>
    <t>PAY028</t>
  </si>
  <si>
    <t>PAY029</t>
  </si>
  <si>
    <t>PAY030</t>
  </si>
  <si>
    <t>PAY031</t>
  </si>
  <si>
    <t>PAY032</t>
  </si>
  <si>
    <t>PAY033</t>
  </si>
  <si>
    <t>PAY034</t>
  </si>
  <si>
    <t>PAY035</t>
  </si>
  <si>
    <t>PAY036</t>
  </si>
  <si>
    <t>PAY037</t>
  </si>
  <si>
    <t>PAY038</t>
  </si>
  <si>
    <t>PAY039</t>
  </si>
  <si>
    <t>PAY040</t>
  </si>
  <si>
    <t>PAY041</t>
  </si>
  <si>
    <t>PAY042</t>
  </si>
  <si>
    <t>PAY043</t>
  </si>
  <si>
    <t>PAY044</t>
  </si>
  <si>
    <t>PAY045</t>
  </si>
  <si>
    <t>PAY046</t>
  </si>
  <si>
    <t>PAY047</t>
  </si>
  <si>
    <t>PAY048</t>
  </si>
  <si>
    <t>PAY049</t>
  </si>
  <si>
    <t>PAY050</t>
  </si>
  <si>
    <t>Sep-2026</t>
  </si>
  <si>
    <t>Aug-2026</t>
  </si>
  <si>
    <t>BUSINESS MANAGEMENT DASHBOARD</t>
  </si>
  <si>
    <t>STOCK</t>
  </si>
  <si>
    <t>On hand</t>
  </si>
  <si>
    <t>STAFF</t>
  </si>
  <si>
    <t>SALES PERFORMANCE</t>
  </si>
  <si>
    <t>Low Stock</t>
  </si>
  <si>
    <t>Out of Stock</t>
  </si>
  <si>
    <t>Monthly Salary</t>
  </si>
  <si>
    <t>TOP PRODUCTS</t>
  </si>
  <si>
    <t>RECENT SALES</t>
  </si>
  <si>
    <t>Day</t>
  </si>
  <si>
    <t>Product</t>
  </si>
  <si>
    <t>Revenue</t>
  </si>
  <si>
    <t>REPORT CENTER</t>
  </si>
  <si>
    <t>Employee Report</t>
  </si>
  <si>
    <t>Payroll Report</t>
  </si>
  <si>
    <t>Inventory Report</t>
  </si>
  <si>
    <t>Sales Report</t>
  </si>
  <si>
    <t>Customer Report</t>
  </si>
  <si>
    <t>Monthly Business Report</t>
  </si>
  <si>
    <t>Select report</t>
  </si>
  <si>
    <t>Select month</t>
  </si>
  <si>
    <t>GENERATE REPORT</t>
  </si>
  <si>
    <t>EXPORT TO PDF</t>
  </si>
  <si>
    <t>METRIC</t>
  </si>
  <si>
    <t>VALUE</t>
  </si>
  <si>
    <t>Snapshot uses the live Employee, Payroll, Inventory, Sales and customers sheets.</t>
  </si>
  <si>
    <t>Metric</t>
  </si>
  <si>
    <t>Value</t>
  </si>
  <si>
    <t>Completed sales</t>
  </si>
  <si>
    <t>Units on hand</t>
  </si>
  <si>
    <t>Pick a report and month in the blue cells. The output below updates from the source sheets. File → Export → PDF uses this output area.</t>
  </si>
  <si>
    <t>Number of sales</t>
  </si>
  <si>
    <t>Total sales amount</t>
  </si>
  <si>
    <t>Total customers</t>
  </si>
  <si>
    <t>Total employees</t>
  </si>
  <si>
    <t>Active staff</t>
  </si>
  <si>
    <t>Total SKUs</t>
  </si>
  <si>
    <t>Low stock items</t>
  </si>
  <si>
    <t>Payroll total</t>
  </si>
  <si>
    <t>Payroll paid</t>
  </si>
  <si>
    <t>SETTINGS</t>
  </si>
  <si>
    <t>COMPANY INFORMATION</t>
  </si>
  <si>
    <t>Company Name</t>
  </si>
  <si>
    <t>My Business</t>
  </si>
  <si>
    <t>Delhi</t>
  </si>
  <si>
    <t>business@email</t>
  </si>
  <si>
    <t>FINANCIAL SETTINGS</t>
  </si>
  <si>
    <t>Currency</t>
  </si>
  <si>
    <t>₹</t>
  </si>
  <si>
    <t>Tax Rate</t>
  </si>
  <si>
    <t>Financial Year</t>
  </si>
  <si>
    <t>2026-27</t>
  </si>
  <si>
    <t>ERP SETTINGS</t>
  </si>
  <si>
    <t>Report Month</t>
  </si>
  <si>
    <t>Low Stock Level</t>
  </si>
  <si>
    <t>Date Format</t>
  </si>
  <si>
    <t>DD-MM-YYYY</t>
  </si>
  <si>
    <t>$</t>
  </si>
  <si>
    <t>₹ INR</t>
  </si>
  <si>
    <t>MM-DD-YYYY</t>
  </si>
  <si>
    <t>YYYY-MM-DD</t>
  </si>
  <si>
    <t>EMPLOYEE ENTRY</t>
  </si>
  <si>
    <t>ADD EMPLOYEE</t>
  </si>
  <si>
    <t>CLEAR</t>
  </si>
  <si>
    <t>Fill the blue cells. ID is assigned automatically. Copy the row into the table or use your ADD macro.</t>
  </si>
  <si>
    <t>EMP026</t>
  </si>
  <si>
    <t>EMP028</t>
  </si>
  <si>
    <t>EMPLOYEE SEARCH</t>
  </si>
  <si>
    <t>Search Employee ID</t>
  </si>
  <si>
    <t>SEARCH</t>
  </si>
  <si>
    <t>tushar</t>
  </si>
  <si>
    <t>Management</t>
  </si>
  <si>
    <t>20/09/2026</t>
  </si>
  <si>
    <t>tushar@gmail.com</t>
  </si>
  <si>
    <t>CUSTOMER ENTRY</t>
  </si>
  <si>
    <t>ADD CUSTOMER</t>
  </si>
  <si>
    <t>CUST052</t>
  </si>
  <si>
    <t>CUSTOMER SEARCH</t>
  </si>
  <si>
    <t>EDIT CUSTOMER</t>
  </si>
  <si>
    <t>LOAD</t>
  </si>
  <si>
    <t>PRODUCT ENTRY</t>
  </si>
  <si>
    <t>OK</t>
  </si>
  <si>
    <t>ADD PRODUCT</t>
  </si>
  <si>
    <t>LOW</t>
  </si>
  <si>
    <t>PRODUCT SEARCH</t>
  </si>
  <si>
    <t>pen</t>
  </si>
  <si>
    <t>P051</t>
  </si>
  <si>
    <t>EDIT PRODUCT</t>
  </si>
  <si>
    <t xml:space="preserve"> P050</t>
  </si>
  <si>
    <t>P052</t>
  </si>
  <si>
    <t>SALES ENTRY</t>
  </si>
  <si>
    <t>ADD SALE</t>
  </si>
  <si>
    <t>26/09/2026</t>
  </si>
  <si>
    <t>daksh kumar</t>
  </si>
  <si>
    <t>daksh@gmail.com</t>
  </si>
  <si>
    <t>CUST051</t>
  </si>
  <si>
    <t>EMP027</t>
  </si>
  <si>
    <t>2026-04-05T18:30:00.000Z</t>
  </si>
  <si>
    <t>Rohit Malhotra</t>
  </si>
  <si>
    <t>2026-04-13T18:30:00.000Z</t>
  </si>
  <si>
    <t>rohit.m@email.com</t>
  </si>
  <si>
    <t>EMP029</t>
  </si>
  <si>
    <t>Sneha Iyer</t>
  </si>
  <si>
    <t>2026-04-21T18:30:00.000Z</t>
  </si>
  <si>
    <t>EMP030</t>
  </si>
  <si>
    <t>Vikram Chauhan</t>
  </si>
  <si>
    <t>Warehouse Supervisor</t>
  </si>
  <si>
    <t>vikram.c@email.com</t>
  </si>
  <si>
    <t>EMP031</t>
  </si>
  <si>
    <t>anjali.n@email.com</t>
  </si>
  <si>
    <t>EMP032</t>
  </si>
  <si>
    <t>Deepak Reddy</t>
  </si>
  <si>
    <t>Territory Manager</t>
  </si>
  <si>
    <t>deepak.r@email.com</t>
  </si>
  <si>
    <t>EMP033</t>
  </si>
  <si>
    <t>Pooja Bansal</t>
  </si>
  <si>
    <t>2026-05-25T18:30:00.000Z</t>
  </si>
  <si>
    <t>pooja.b@email.com</t>
  </si>
  <si>
    <t>EMP034</t>
  </si>
  <si>
    <t>Sanjay Kulkarni</t>
  </si>
  <si>
    <t>sanjay.k@email.com</t>
  </si>
  <si>
    <t>EMP035</t>
  </si>
  <si>
    <t>Meera Pillai</t>
  </si>
  <si>
    <t>2026-06-10T18:30:00.000Z</t>
  </si>
  <si>
    <t>meera.p@email.com</t>
  </si>
  <si>
    <t>EMP036</t>
  </si>
  <si>
    <t>Arjun Sethi</t>
  </si>
  <si>
    <t>Sales Coordinator</t>
  </si>
  <si>
    <t>2026-06-18T18:30:00.000Z</t>
  </si>
  <si>
    <t>arjun.s@email.com</t>
  </si>
  <si>
    <t>EMP037</t>
  </si>
  <si>
    <t>Ritika Deshmukh</t>
  </si>
  <si>
    <t>Benefits Executive</t>
  </si>
  <si>
    <t>2026-06-26T18:30:00.000Z</t>
  </si>
  <si>
    <t>ritika@email.com</t>
  </si>
  <si>
    <t>EMP038</t>
  </si>
  <si>
    <t>Nikhil Bhatt</t>
  </si>
  <si>
    <t>Audit Executive</t>
  </si>
  <si>
    <t>2026-07-04T18:30:00.000Z</t>
  </si>
  <si>
    <t>nikhil.b@email.com</t>
  </si>
  <si>
    <t>EMP039</t>
  </si>
  <si>
    <t>Tanvi Kapoor</t>
  </si>
  <si>
    <t>Key Account Executive</t>
  </si>
  <si>
    <t>2026-07-12T18:30:00.000Z</t>
  </si>
  <si>
    <t>EMP040</t>
  </si>
  <si>
    <t>Gaurav Menon</t>
  </si>
  <si>
    <t>Dispatch Executive</t>
  </si>
  <si>
    <t>gaurav.m@email.com</t>
  </si>
  <si>
    <t>EMP041</t>
  </si>
  <si>
    <t>Ishita Rao</t>
  </si>
  <si>
    <t>Training Executive</t>
  </si>
  <si>
    <t>2026-07-28T18:30:00.000Z</t>
  </si>
  <si>
    <t>EMP042</t>
  </si>
  <si>
    <t>2026-08-05T18:30:00.000Z</t>
  </si>
  <si>
    <t>manish.t@email.com</t>
  </si>
  <si>
    <t>EMP043</t>
  </si>
  <si>
    <t>Divya Sinha</t>
  </si>
  <si>
    <t>Tally Operator</t>
  </si>
  <si>
    <t>2026-08-13T18:30:00.000Z</t>
  </si>
  <si>
    <t>divya.s@email.com</t>
  </si>
  <si>
    <t>EMP044</t>
  </si>
  <si>
    <t>Yash Thakur</t>
  </si>
  <si>
    <t>Field Executive</t>
  </si>
  <si>
    <t>yash.t@email.com</t>
  </si>
  <si>
    <t>EMP045</t>
  </si>
  <si>
    <t>Komal Jain</t>
  </si>
  <si>
    <t>Stock Auditor</t>
  </si>
  <si>
    <t>komal.j@email.com</t>
  </si>
  <si>
    <t>EMP046</t>
  </si>
  <si>
    <t>Pranav Iyer</t>
  </si>
  <si>
    <t>EMP047</t>
  </si>
  <si>
    <t>Rhea Dutta</t>
  </si>
  <si>
    <t>Finance Analyst</t>
  </si>
  <si>
    <t>rhea@email.com</t>
  </si>
  <si>
    <t>EMP048</t>
  </si>
  <si>
    <t>Aditya Bose</t>
  </si>
  <si>
    <t>aditya.b@email.com</t>
  </si>
  <si>
    <t>EMP049</t>
  </si>
  <si>
    <t>Neelam Yadav</t>
  </si>
  <si>
    <t>Statutory Executive</t>
  </si>
  <si>
    <t>neelam@email.com</t>
  </si>
  <si>
    <t>EMP050</t>
  </si>
  <si>
    <t>Siddharth Pal</t>
  </si>
  <si>
    <t>Inventory Manager</t>
  </si>
  <si>
    <t>S051</t>
  </si>
  <si>
    <t>S052</t>
  </si>
  <si>
    <t>book</t>
  </si>
  <si>
    <t>P053</t>
  </si>
  <si>
    <t>STOCK IN / PURCHASE ENTRY</t>
  </si>
  <si>
    <t>Quantity Received</t>
  </si>
  <si>
    <t>POST STOCK IN</t>
  </si>
  <si>
    <t>Stock Movement Log</t>
  </si>
  <si>
    <t>Transaction ID</t>
  </si>
  <si>
    <t>Date</t>
  </si>
  <si>
    <t>Transaction Type</t>
  </si>
  <si>
    <t>Reference</t>
  </si>
  <si>
    <t>User/Staff</t>
  </si>
  <si>
    <t>IN</t>
  </si>
  <si>
    <t>PO-1001</t>
  </si>
  <si>
    <t>OUT</t>
  </si>
  <si>
    <t>PO-1002</t>
  </si>
  <si>
    <t>PO-1003</t>
  </si>
  <si>
    <t>STK009</t>
  </si>
  <si>
    <t>STOCK IN</t>
  </si>
  <si>
    <t>Purchase</t>
  </si>
  <si>
    <t>STK010</t>
  </si>
  <si>
    <t>STOCK OUT</t>
  </si>
  <si>
    <t>PAYROLL ENTRY</t>
  </si>
  <si>
    <t>ADD PAYROLL</t>
  </si>
  <si>
    <t>PAY051</t>
  </si>
  <si>
    <t>PAYROLL SEARCH</t>
  </si>
  <si>
    <t>EDIT PAYROLL</t>
  </si>
  <si>
    <t>SAVE</t>
  </si>
  <si>
    <t xml:space="preserve"> PAY001</t>
  </si>
  <si>
    <t>2026-09-25T18:30:00.000Z</t>
  </si>
  <si>
    <t>2026-09-26T18:30:00.000Z</t>
  </si>
  <si>
    <t>2026-09-27T18:30:00.000Z</t>
  </si>
  <si>
    <t>2026-09-28T18:30:00.000Z</t>
  </si>
  <si>
    <t>2026-09-29T18:30:00.000Z</t>
  </si>
  <si>
    <t>MONTHLY SALES</t>
  </si>
  <si>
    <t>Total Sales</t>
  </si>
  <si>
    <t>LOW STOCK ALERT</t>
  </si>
  <si>
    <t>SALES BY PAYMENT METHOD</t>
  </si>
  <si>
    <t>Number of Sales</t>
  </si>
  <si>
    <t>MONTHLY SALES SUMMARY</t>
  </si>
  <si>
    <t>Oct-2026</t>
  </si>
  <si>
    <t>EMPLOYEE PAYROLL SUMMARY</t>
  </si>
  <si>
    <t>=SETTINGS!C15</t>
  </si>
  <si>
    <t>STK001</t>
  </si>
  <si>
    <t>STK002</t>
  </si>
  <si>
    <t>STK003</t>
  </si>
  <si>
    <t>STK004</t>
  </si>
  <si>
    <t>STK005</t>
  </si>
  <si>
    <t>STK006</t>
  </si>
  <si>
    <t>STK007</t>
  </si>
  <si>
    <t>STK008</t>
  </si>
  <si>
    <t>S053</t>
  </si>
  <si>
    <t>STK011</t>
  </si>
  <si>
    <t>Available stock</t>
  </si>
  <si>
    <t>Stock check</t>
  </si>
  <si>
    <t>PROFIT ANALYSIS</t>
  </si>
  <si>
    <t>Total Revenue</t>
  </si>
  <si>
    <t>Total COGS</t>
  </si>
  <si>
    <t>Gross Profit</t>
  </si>
  <si>
    <t>Profit Margin</t>
  </si>
  <si>
    <t>TOTAL SALES</t>
  </si>
  <si>
    <t>TOTAL COGS</t>
  </si>
  <si>
    <t>GROSS PROFIT</t>
  </si>
  <si>
    <t>SALESPERSON PERFORMANCE</t>
  </si>
  <si>
    <t>Units Sold</t>
  </si>
  <si>
    <t>INVENTORY VALUATION</t>
  </si>
  <si>
    <t>Total Inventory Units</t>
  </si>
  <si>
    <t>Total Inventory Cost Value</t>
  </si>
  <si>
    <t>Total Potential Sales Value</t>
  </si>
  <si>
    <t>Potential Gross Profit</t>
  </si>
  <si>
    <t>Low Stock Products</t>
  </si>
  <si>
    <t>Out of Stock Products</t>
  </si>
  <si>
    <t>Unmatched SALES Customer 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</si>
</sst>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₹&quot;#,##0"/>
    <numFmt numFmtId="165" formatCode="dd/mm/yyyy"/>
    <numFmt numFmtId="166" formatCode="\₹#,##0"/>
    <numFmt numFmtId="167" formatCode="#,##0&quot; Units&quot;"/>
    <numFmt numFmtId="168" formatCode="dd\-mm\-yyyy"/>
    <numFmt numFmtId="169" formatCode="0.0%"/>
    <numFmt numFmtId="170" formatCode="&quot;₹&quot;#,##0;\(&quot;₹&quot;#,##0\)"/>
  </numFmts>
  <fonts count="3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1B365D"/>
      <name val="Calibri"/>
      <family val="2"/>
      <scheme val="minor"/>
    </font>
    <font>
      <sz val="10"/>
      <color rgb="FF5B6B7A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rgb="FF5B6B7A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1"/>
      <color rgb="FFD6E3F0"/>
      <name val="Calibri"/>
      <family val="2"/>
      <scheme val="minor"/>
    </font>
    <font>
      <b/>
      <sz val="10"/>
      <color rgb="FF5B6B7A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1B365D"/>
      <name val="Calibri"/>
      <family val="2"/>
      <scheme val="minor"/>
    </font>
    <font>
      <b/>
      <sz val="10"/>
      <color rgb="FF5B6B7A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9"/>
      <color rgb="FF7A8794"/>
      <name val="Calibri"/>
      <family val="2"/>
      <scheme val="minor"/>
    </font>
    <font>
      <i/>
      <sz val="11"/>
      <color rgb="FFD6E3F0"/>
      <name val="Calibri"/>
      <family val="2"/>
      <scheme val="minor"/>
    </font>
    <font>
      <sz val="11"/>
      <color rgb="FFB0B0B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9"/>
      <color rgb="FFB0B0B0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color rgb="FFB0B0B0"/>
      <name val="Calibri"/>
      <family val="2"/>
      <scheme val="minor"/>
    </font>
    <font>
      <sz val="11"/>
      <color rgb="FFC0C0C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rgb="FF1B365D"/>
      <name val="Calibri"/>
      <family val="2"/>
      <scheme val="minor"/>
    </font>
    <font>
      <b/>
      <sz val="12"/>
      <color rgb="FF1B365D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8"/>
      <color rgb="FF7A8794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0"/>
      <color rgb="FF5B6B7A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EEF7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E6F0FA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rgb="FF1B365D"/>
      </top>
      <bottom/>
      <diagonal/>
    </border>
    <border>
      <left/>
      <right/>
      <top/>
      <bottom style="medium">
        <color rgb="FF1B365D"/>
      </bottom>
      <diagonal/>
    </border>
    <border>
      <left style="medium">
        <color rgb="FF1B365D"/>
      </left>
      <right/>
      <top style="medium">
        <color rgb="FF1B365D"/>
      </top>
      <bottom style="medium">
        <color rgb="FF1B365D"/>
      </bottom>
      <diagonal/>
    </border>
    <border>
      <left style="medium">
        <color rgb="FF1B365D"/>
      </left>
      <right/>
      <top style="medium">
        <color rgb="FF1B365D"/>
      </top>
      <bottom/>
      <diagonal/>
    </border>
    <border>
      <left style="medium">
        <color rgb="FF1B365D"/>
      </left>
      <right/>
      <top/>
      <bottom/>
      <diagonal/>
    </border>
    <border>
      <left style="medium">
        <color rgb="FF1B365D"/>
      </left>
      <right/>
      <top/>
      <bottom style="medium">
        <color rgb="FF1B365D"/>
      </bottom>
      <diagonal/>
    </border>
    <border>
      <left/>
      <right/>
      <top style="medium">
        <color rgb="FF2F5496"/>
      </top>
      <bottom style="medium">
        <color rgb="FF2F5496"/>
      </bottom>
      <diagonal/>
    </border>
    <border>
      <left style="medium">
        <color rgb="FF2F5496"/>
      </left>
      <right/>
      <top style="medium">
        <color rgb="FF2F5496"/>
      </top>
      <bottom style="medium">
        <color rgb="FF2F5496"/>
      </bottom>
      <diagonal/>
    </border>
    <border>
      <left/>
      <right style="medium">
        <color rgb="FF1B365D"/>
      </right>
      <top/>
      <bottom/>
      <diagonal/>
    </border>
    <border>
      <left/>
      <right style="medium">
        <color rgb="FF1B365D"/>
      </right>
      <top/>
      <bottom style="medium">
        <color rgb="FF1B365D"/>
      </bottom>
      <diagonal/>
    </border>
    <border>
      <left style="double">
        <color rgb="FF1B365D"/>
      </left>
      <right style="double">
        <color rgb="FF1B365D"/>
      </right>
      <top/>
      <bottom/>
      <diagonal/>
    </border>
    <border>
      <left style="double">
        <color rgb="FF1B365D"/>
      </left>
      <right style="double">
        <color rgb="FF1B365D"/>
      </right>
      <top style="double">
        <color rgb="FF1B365D"/>
      </top>
      <bottom/>
      <diagonal/>
    </border>
    <border>
      <left style="double">
        <color rgb="FF1B365D"/>
      </left>
      <right style="double">
        <color rgb="FF1B365D"/>
      </right>
      <top/>
      <bottom style="double">
        <color rgb="FF1B365D"/>
      </bottom>
      <diagonal/>
    </border>
    <border>
      <left style="double">
        <color rgb="FF1B365D"/>
      </left>
      <right style="double">
        <color rgb="FF1B365D"/>
      </right>
      <top/>
      <bottom style="medium">
        <color rgb="FF1B365D"/>
      </bottom>
      <diagonal/>
    </border>
    <border>
      <left style="double">
        <color rgb="FF1B365D"/>
      </left>
      <right style="double">
        <color rgb="FF1B365D"/>
      </right>
      <top style="medium">
        <color rgb="FF2F5496"/>
      </top>
      <bottom/>
      <diagonal/>
    </border>
    <border>
      <left/>
      <right style="medium">
        <color rgb="FF1B365D"/>
      </right>
      <top style="medium">
        <color rgb="FF1B365D"/>
      </top>
      <bottom/>
      <diagonal/>
    </border>
    <border>
      <left/>
      <right/>
      <top style="medium">
        <color rgb="FFC5D0DC"/>
      </top>
      <bottom/>
      <diagonal/>
    </border>
    <border>
      <left/>
      <right/>
      <top/>
      <bottom style="medium">
        <color rgb="FFC5D0DC"/>
      </bottom>
      <diagonal/>
    </border>
    <border>
      <left style="medium">
        <color rgb="FFC5D0DC"/>
      </left>
      <right/>
      <top style="medium">
        <color rgb="FFC5D0DC"/>
      </top>
      <bottom/>
      <diagonal/>
    </border>
    <border>
      <left style="medium">
        <color rgb="FFC5D0DC"/>
      </left>
      <right/>
      <top/>
      <bottom/>
      <diagonal/>
    </border>
    <border>
      <left style="medium">
        <color rgb="FFC5D0DC"/>
      </left>
      <right/>
      <top/>
      <bottom style="medium">
        <color rgb="FFC5D0DC"/>
      </bottom>
      <diagonal/>
    </border>
    <border>
      <left/>
      <right style="medium">
        <color rgb="FFC5D0DC"/>
      </right>
      <top style="medium">
        <color rgb="FFC5D0DC"/>
      </top>
      <bottom/>
      <diagonal/>
    </border>
    <border>
      <left/>
      <right style="medium">
        <color rgb="FFC5D0DC"/>
      </right>
      <top/>
      <bottom/>
      <diagonal/>
    </border>
    <border>
      <left/>
      <right style="medium">
        <color rgb="FFC5D0DC"/>
      </right>
      <top/>
      <bottom style="medium">
        <color rgb="FFC5D0DC"/>
      </bottom>
      <diagonal/>
    </border>
    <border>
      <left/>
      <right style="medium">
        <color rgb="FF1B365D"/>
      </right>
      <top style="medium">
        <color rgb="FF1B365D"/>
      </top>
      <bottom style="medium">
        <color rgb="FF1B365D"/>
      </bottom>
      <diagonal/>
    </border>
    <border>
      <left/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 style="medium">
        <color rgb="FF2F5496"/>
      </left>
      <right/>
      <top style="medium">
        <color rgb="FF2F5496"/>
      </top>
      <bottom/>
      <diagonal/>
    </border>
    <border>
      <left/>
      <right style="medium">
        <color rgb="FF2F5496"/>
      </right>
      <top style="medium">
        <color rgb="FF2F5496"/>
      </top>
      <bottom/>
      <diagonal/>
    </border>
    <border>
      <left style="medium">
        <color rgb="FF2F5496"/>
      </left>
      <right/>
      <top style="medium">
        <color rgb="FF2F5496"/>
      </top>
      <bottom style="medium">
        <color rgb="FF1B365D"/>
      </bottom>
      <diagonal/>
    </border>
    <border>
      <left/>
      <right style="medium">
        <color rgb="FF2F5496"/>
      </right>
      <top style="medium">
        <color rgb="FF2F5496"/>
      </top>
      <bottom style="medium">
        <color rgb="FF1B365D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238">
    <xf numFmtId="0" fontId="0" fillId="0" borderId="0" xfId="0"/>
    <xf numFmtId="0" fontId="29" fillId="0" borderId="0" xfId="0" applyFont="1"/>
    <xf numFmtId="168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37" fillId="3" borderId="0" xfId="0" applyFont="1" applyFill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9" xfId="0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4" fillId="6" borderId="9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vertical="center"/>
    </xf>
    <xf numFmtId="166" fontId="1" fillId="5" borderId="9" xfId="0" applyNumberFormat="1" applyFont="1" applyFill="1" applyBorder="1" applyAlignment="1">
      <alignment vertical="center"/>
    </xf>
    <xf numFmtId="49" fontId="4" fillId="6" borderId="0" xfId="0" applyNumberFormat="1" applyFont="1" applyFill="1" applyAlignment="1" applyProtection="1">
      <alignment horizontal="center" vertical="center"/>
      <protection locked="0"/>
    </xf>
    <xf numFmtId="0" fontId="4" fillId="6" borderId="0" xfId="0" applyFont="1" applyFill="1" applyAlignment="1" applyProtection="1">
      <alignment vertic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165" fontId="4" fillId="6" borderId="0" xfId="0" applyNumberFormat="1" applyFont="1" applyFill="1" applyAlignment="1" applyProtection="1">
      <alignment horizontal="center" vertical="center"/>
      <protection locked="0"/>
    </xf>
    <xf numFmtId="164" fontId="4" fillId="6" borderId="0" xfId="0" applyNumberFormat="1" applyFont="1" applyFill="1" applyAlignment="1" applyProtection="1">
      <alignment horizontal="right" vertical="center"/>
      <protection locked="0"/>
    </xf>
    <xf numFmtId="0" fontId="24" fillId="6" borderId="0" xfId="1" applyFill="1" applyAlignment="1" applyProtection="1">
      <alignment vertical="center"/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4" fillId="6" borderId="9" xfId="0" applyFont="1" applyFill="1" applyBorder="1" applyAlignment="1" applyProtection="1">
      <alignment vertical="center"/>
      <protection locked="0"/>
    </xf>
    <xf numFmtId="165" fontId="4" fillId="6" borderId="9" xfId="0" applyNumberFormat="1" applyFont="1" applyFill="1" applyBorder="1" applyAlignment="1" applyProtection="1">
      <alignment vertical="center"/>
      <protection locked="0"/>
    </xf>
    <xf numFmtId="166" fontId="4" fillId="6" borderId="9" xfId="0" applyNumberFormat="1" applyFont="1" applyFill="1" applyBorder="1" applyAlignment="1" applyProtection="1">
      <alignment vertical="center"/>
      <protection locked="0"/>
    </xf>
    <xf numFmtId="0" fontId="24" fillId="6" borderId="9" xfId="1" applyFill="1" applyBorder="1" applyAlignment="1" applyProtection="1">
      <alignment vertical="center"/>
      <protection locked="0"/>
    </xf>
    <xf numFmtId="0" fontId="4" fillId="6" borderId="9" xfId="0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vertical="center"/>
      <protection locked="0"/>
    </xf>
    <xf numFmtId="165" fontId="8" fillId="6" borderId="0" xfId="0" applyNumberFormat="1" applyFont="1" applyFill="1" applyAlignment="1">
      <alignment horizontal="center" vertical="center"/>
    </xf>
    <xf numFmtId="164" fontId="8" fillId="6" borderId="0" xfId="0" applyNumberFormat="1" applyFont="1" applyFill="1" applyAlignment="1">
      <alignment horizontal="right" vertical="center"/>
    </xf>
    <xf numFmtId="164" fontId="1" fillId="5" borderId="9" xfId="0" applyNumberFormat="1" applyFont="1" applyFill="1" applyBorder="1" applyAlignment="1">
      <alignment vertical="center"/>
    </xf>
    <xf numFmtId="165" fontId="1" fillId="5" borderId="9" xfId="0" applyNumberFormat="1" applyFont="1" applyFill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horizontal="center" vertical="center"/>
    </xf>
    <xf numFmtId="49" fontId="8" fillId="6" borderId="0" xfId="0" applyNumberFormat="1" applyFont="1" applyFill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vertical="center"/>
      <protection locked="0"/>
    </xf>
    <xf numFmtId="165" fontId="8" fillId="6" borderId="0" xfId="0" applyNumberFormat="1" applyFont="1" applyFill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3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" fontId="1" fillId="5" borderId="9" xfId="0" applyNumberFormat="1" applyFont="1" applyFill="1" applyBorder="1" applyAlignment="1">
      <alignment vertical="center"/>
    </xf>
    <xf numFmtId="164" fontId="1" fillId="5" borderId="9" xfId="0" applyNumberFormat="1" applyFont="1" applyFill="1" applyBorder="1" applyAlignment="1">
      <alignment horizontal="right" vertical="center"/>
    </xf>
    <xf numFmtId="164" fontId="8" fillId="6" borderId="0" xfId="0" applyNumberFormat="1" applyFont="1" applyFill="1" applyAlignment="1" applyProtection="1">
      <alignment horizontal="right" vertical="center"/>
      <protection locked="0"/>
    </xf>
    <xf numFmtId="3" fontId="8" fillId="6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 applyProtection="1">
      <protection locked="0"/>
    </xf>
    <xf numFmtId="164" fontId="4" fillId="6" borderId="9" xfId="0" applyNumberFormat="1" applyFont="1" applyFill="1" applyBorder="1" applyAlignment="1" applyProtection="1">
      <alignment vertical="center"/>
      <protection locked="0"/>
    </xf>
    <xf numFmtId="1" fontId="4" fillId="6" borderId="9" xfId="0" applyNumberFormat="1" applyFont="1" applyFill="1" applyBorder="1" applyAlignment="1" applyProtection="1">
      <alignment vertical="center"/>
      <protection locked="0"/>
    </xf>
    <xf numFmtId="0" fontId="1" fillId="5" borderId="9" xfId="0" applyFont="1" applyFill="1" applyBorder="1" applyAlignment="1" applyProtection="1">
      <alignment vertical="center"/>
      <protection locked="0"/>
    </xf>
    <xf numFmtId="1" fontId="4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vertical="center"/>
    </xf>
    <xf numFmtId="0" fontId="2" fillId="5" borderId="0" xfId="0" applyFont="1" applyFill="1"/>
    <xf numFmtId="0" fontId="1" fillId="0" borderId="0" xfId="0" applyFont="1"/>
    <xf numFmtId="0" fontId="2" fillId="0" borderId="0" xfId="0" applyFont="1"/>
    <xf numFmtId="164" fontId="10" fillId="0" borderId="0" xfId="0" applyNumberFormat="1" applyFont="1" applyAlignment="1" applyProtection="1">
      <alignment horizontal="right" vertical="center"/>
      <protection locked="0"/>
    </xf>
    <xf numFmtId="165" fontId="4" fillId="6" borderId="9" xfId="0" applyNumberFormat="1" applyFont="1" applyFill="1" applyBorder="1" applyAlignment="1" applyProtection="1">
      <alignment horizontal="center" vertical="center"/>
      <protection locked="0"/>
    </xf>
    <xf numFmtId="49" fontId="29" fillId="0" borderId="0" xfId="0" applyNumberFormat="1" applyFont="1"/>
    <xf numFmtId="1" fontId="1" fillId="5" borderId="9" xfId="0" applyNumberFormat="1" applyFont="1" applyFill="1" applyBorder="1" applyAlignment="1">
      <alignment horizontal="center" vertical="center"/>
    </xf>
    <xf numFmtId="1" fontId="8" fillId="6" borderId="0" xfId="0" applyNumberFormat="1" applyFont="1" applyFill="1" applyAlignment="1" applyProtection="1">
      <alignment horizontal="center" vertical="center"/>
      <protection locked="0"/>
    </xf>
    <xf numFmtId="1" fontId="0" fillId="0" borderId="0" xfId="0" applyNumberFormat="1" applyProtection="1">
      <protection locked="0"/>
    </xf>
    <xf numFmtId="49" fontId="4" fillId="6" borderId="9" xfId="0" applyNumberFormat="1" applyFont="1" applyFill="1" applyBorder="1" applyAlignment="1" applyProtection="1">
      <alignment horizontal="center" vertical="center"/>
      <protection locked="0"/>
    </xf>
    <xf numFmtId="164" fontId="1" fillId="5" borderId="9" xfId="0" applyNumberFormat="1" applyFont="1" applyFill="1" applyBorder="1" applyAlignment="1" applyProtection="1">
      <alignment horizontal="right" vertical="center"/>
      <protection locked="0"/>
    </xf>
    <xf numFmtId="164" fontId="4" fillId="6" borderId="9" xfId="0" applyNumberFormat="1" applyFont="1" applyFill="1" applyBorder="1" applyAlignment="1" applyProtection="1">
      <alignment horizontal="right" vertical="center"/>
      <protection locked="0"/>
    </xf>
    <xf numFmtId="49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6" fillId="3" borderId="0" xfId="0" applyFont="1" applyFill="1"/>
    <xf numFmtId="168" fontId="16" fillId="3" borderId="0" xfId="0" applyNumberFormat="1" applyFont="1" applyFill="1" applyAlignment="1">
      <alignment horizontal="center"/>
    </xf>
    <xf numFmtId="168" fontId="17" fillId="0" borderId="0" xfId="0" applyNumberFormat="1" applyFont="1"/>
    <xf numFmtId="166" fontId="0" fillId="0" borderId="0" xfId="0" applyNumberFormat="1"/>
    <xf numFmtId="0" fontId="0" fillId="0" borderId="20" xfId="0" applyBorder="1"/>
    <xf numFmtId="0" fontId="0" fillId="0" borderId="23" xfId="0" applyBorder="1"/>
    <xf numFmtId="0" fontId="0" fillId="0" borderId="21" xfId="0" applyBorder="1"/>
    <xf numFmtId="0" fontId="0" fillId="0" borderId="18" xfId="0" applyBorder="1"/>
    <xf numFmtId="0" fontId="0" fillId="0" borderId="24" xfId="0" applyBorder="1"/>
    <xf numFmtId="0" fontId="3" fillId="5" borderId="20" xfId="0" applyFont="1" applyFill="1" applyBorder="1" applyAlignment="1">
      <alignment vertical="center"/>
    </xf>
    <xf numFmtId="1" fontId="0" fillId="5" borderId="0" xfId="0" applyNumberFormat="1" applyFill="1" applyAlignment="1">
      <alignment horizontal="center" vertical="center"/>
    </xf>
    <xf numFmtId="0" fontId="0" fillId="5" borderId="23" xfId="0" applyFill="1" applyBorder="1" applyAlignment="1">
      <alignment vertical="center"/>
    </xf>
    <xf numFmtId="0" fontId="3" fillId="5" borderId="21" xfId="0" applyFont="1" applyFill="1" applyBorder="1" applyAlignment="1">
      <alignment vertical="center"/>
    </xf>
    <xf numFmtId="1" fontId="0" fillId="5" borderId="18" xfId="0" applyNumberFormat="1" applyFill="1" applyBorder="1" applyAlignment="1">
      <alignment horizontal="center" vertical="center"/>
    </xf>
    <xf numFmtId="0" fontId="0" fillId="5" borderId="24" xfId="0" applyFill="1" applyBorder="1" applyAlignment="1">
      <alignment vertical="center"/>
    </xf>
    <xf numFmtId="0" fontId="1" fillId="5" borderId="20" xfId="0" applyFont="1" applyFill="1" applyBorder="1" applyAlignment="1">
      <alignment vertical="center"/>
    </xf>
    <xf numFmtId="164" fontId="1" fillId="5" borderId="0" xfId="0" applyNumberFormat="1" applyFont="1" applyFill="1" applyAlignment="1">
      <alignment horizontal="right" vertical="center"/>
    </xf>
    <xf numFmtId="0" fontId="1" fillId="5" borderId="21" xfId="0" applyFont="1" applyFill="1" applyBorder="1" applyAlignment="1">
      <alignment vertical="center"/>
    </xf>
    <xf numFmtId="164" fontId="1" fillId="5" borderId="18" xfId="0" applyNumberFormat="1" applyFont="1" applyFill="1" applyBorder="1" applyAlignment="1">
      <alignment horizontal="right" vertical="center"/>
    </xf>
    <xf numFmtId="0" fontId="1" fillId="5" borderId="0" xfId="0" applyFont="1" applyFill="1"/>
    <xf numFmtId="164" fontId="1" fillId="5" borderId="0" xfId="0" applyNumberFormat="1" applyFont="1" applyFill="1" applyAlignment="1">
      <alignment horizontal="right"/>
    </xf>
    <xf numFmtId="0" fontId="7" fillId="3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49" fontId="1" fillId="5" borderId="0" xfId="0" applyNumberFormat="1" applyFont="1" applyFill="1"/>
    <xf numFmtId="1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49" fontId="23" fillId="0" borderId="0" xfId="0" applyNumberFormat="1" applyFont="1"/>
    <xf numFmtId="0" fontId="0" fillId="0" borderId="5" xfId="0" applyBorder="1"/>
    <xf numFmtId="0" fontId="0" fillId="0" borderId="9" xfId="0" applyBorder="1"/>
    <xf numFmtId="0" fontId="7" fillId="3" borderId="0" xfId="0" applyFont="1" applyFill="1"/>
    <xf numFmtId="0" fontId="23" fillId="0" borderId="0" xfId="0" applyFont="1"/>
    <xf numFmtId="3" fontId="1" fillId="5" borderId="0" xfId="0" applyNumberFormat="1" applyFont="1" applyFill="1" applyAlignment="1">
      <alignment horizontal="right"/>
    </xf>
    <xf numFmtId="164" fontId="1" fillId="5" borderId="0" xfId="0" applyNumberFormat="1" applyFont="1" applyFill="1"/>
    <xf numFmtId="169" fontId="1" fillId="5" borderId="0" xfId="0" applyNumberFormat="1" applyFont="1" applyFill="1" applyAlignment="1">
      <alignment horizontal="right"/>
    </xf>
    <xf numFmtId="49" fontId="36" fillId="2" borderId="0" xfId="0" applyNumberFormat="1" applyFont="1" applyFill="1" applyAlignment="1">
      <alignment horizontal="center"/>
    </xf>
    <xf numFmtId="166" fontId="36" fillId="2" borderId="0" xfId="0" applyNumberFormat="1" applyFont="1" applyFill="1" applyAlignment="1">
      <alignment horizontal="center"/>
    </xf>
    <xf numFmtId="166" fontId="1" fillId="5" borderId="0" xfId="0" applyNumberFormat="1" applyFont="1" applyFill="1" applyAlignment="1">
      <alignment horizontal="center"/>
    </xf>
    <xf numFmtId="0" fontId="19" fillId="5" borderId="5" xfId="0" applyFont="1" applyFill="1" applyBorder="1" applyAlignment="1">
      <alignment vertical="center"/>
    </xf>
    <xf numFmtId="0" fontId="26" fillId="0" borderId="0" xfId="0" applyFont="1"/>
    <xf numFmtId="0" fontId="28" fillId="0" borderId="0" xfId="0" applyFont="1"/>
    <xf numFmtId="0" fontId="27" fillId="0" borderId="0" xfId="0" applyFont="1"/>
    <xf numFmtId="3" fontId="1" fillId="0" borderId="0" xfId="0" applyNumberFormat="1" applyFont="1" applyAlignment="1">
      <alignment horizontal="right"/>
    </xf>
    <xf numFmtId="9" fontId="4" fillId="6" borderId="9" xfId="0" applyNumberFormat="1" applyFont="1" applyFill="1" applyBorder="1" applyAlignment="1" applyProtection="1">
      <alignment horizontal="center" vertical="center"/>
      <protection locked="0"/>
    </xf>
    <xf numFmtId="0" fontId="4" fillId="6" borderId="10" xfId="0" applyFont="1" applyFill="1" applyBorder="1" applyAlignment="1" applyProtection="1">
      <alignment horizontal="center" vertical="center"/>
      <protection locked="0"/>
    </xf>
    <xf numFmtId="0" fontId="30" fillId="2" borderId="12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30" fillId="2" borderId="14" xfId="0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center" vertical="center"/>
    </xf>
    <xf numFmtId="0" fontId="32" fillId="4" borderId="11" xfId="0" applyFont="1" applyFill="1" applyBorder="1" applyAlignment="1">
      <alignment horizontal="center" vertical="center"/>
    </xf>
    <xf numFmtId="0" fontId="30" fillId="3" borderId="15" xfId="0" applyFont="1" applyFill="1" applyBorder="1" applyAlignment="1">
      <alignment horizontal="center" vertical="center"/>
    </xf>
    <xf numFmtId="0" fontId="30" fillId="3" borderId="11" xfId="0" applyFont="1" applyFill="1" applyBorder="1" applyAlignment="1">
      <alignment horizontal="center" vertical="center"/>
    </xf>
    <xf numFmtId="0" fontId="31" fillId="6" borderId="11" xfId="0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1" fillId="6" borderId="13" xfId="0" applyFont="1" applyFill="1" applyBorder="1" applyAlignment="1">
      <alignment horizontal="center" vertical="center"/>
    </xf>
    <xf numFmtId="49" fontId="4" fillId="6" borderId="0" xfId="0" applyNumberFormat="1" applyFont="1" applyFill="1" applyAlignment="1" applyProtection="1">
      <alignment horizontal="center"/>
      <protection locked="0"/>
    </xf>
    <xf numFmtId="165" fontId="4" fillId="6" borderId="0" xfId="0" applyNumberFormat="1" applyFont="1" applyFill="1" applyAlignment="1" applyProtection="1">
      <alignment horizontal="center"/>
      <protection locked="0"/>
    </xf>
    <xf numFmtId="0" fontId="4" fillId="6" borderId="0" xfId="0" applyFont="1" applyFill="1" applyProtection="1">
      <protection locked="0"/>
    </xf>
    <xf numFmtId="0" fontId="4" fillId="6" borderId="0" xfId="0" applyFont="1" applyFill="1" applyAlignment="1" applyProtection="1">
      <alignment horizontal="center"/>
      <protection locked="0"/>
    </xf>
    <xf numFmtId="3" fontId="4" fillId="6" borderId="0" xfId="0" applyNumberFormat="1" applyFont="1" applyFill="1" applyAlignment="1" applyProtection="1">
      <alignment horizontal="center"/>
      <protection locked="0"/>
    </xf>
    <xf numFmtId="0" fontId="9" fillId="2" borderId="0" xfId="0" applyFont="1" applyFill="1" applyAlignment="1">
      <alignment horizontal="center"/>
    </xf>
    <xf numFmtId="0" fontId="0" fillId="0" borderId="6" xfId="0" applyBorder="1" applyAlignment="1">
      <alignment vertical="center"/>
    </xf>
    <xf numFmtId="0" fontId="0" fillId="0" borderId="10" xfId="0" applyBorder="1" applyAlignment="1">
      <alignment vertical="center"/>
    </xf>
    <xf numFmtId="0" fontId="33" fillId="2" borderId="4" xfId="0" applyFont="1" applyFill="1" applyBorder="1" applyAlignment="1">
      <alignment horizontal="center" vertical="center"/>
    </xf>
    <xf numFmtId="0" fontId="33" fillId="2" borderId="16" xfId="0" applyFont="1" applyFill="1" applyBorder="1" applyAlignment="1" applyProtection="1">
      <alignment horizontal="center" vertical="center"/>
      <protection locked="0"/>
    </xf>
    <xf numFmtId="0" fontId="7" fillId="3" borderId="8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33" fillId="2" borderId="1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34" fillId="0" borderId="5" xfId="0" applyFont="1" applyBorder="1" applyAlignment="1">
      <alignment vertical="center" wrapText="1"/>
    </xf>
    <xf numFmtId="0" fontId="34" fillId="0" borderId="9" xfId="0" applyFont="1" applyBorder="1" applyAlignment="1">
      <alignment vertical="center" wrapText="1"/>
    </xf>
    <xf numFmtId="0" fontId="0" fillId="0" borderId="0" xfId="0"/>
    <xf numFmtId="0" fontId="25" fillId="2" borderId="4" xfId="0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25" fillId="2" borderId="5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0" fontId="1" fillId="5" borderId="21" xfId="0" applyFont="1" applyFill="1" applyBorder="1" applyAlignment="1">
      <alignment vertical="center"/>
    </xf>
    <xf numFmtId="0" fontId="1" fillId="5" borderId="18" xfId="0" applyFont="1" applyFill="1" applyBorder="1" applyAlignment="1">
      <alignment vertical="center"/>
    </xf>
    <xf numFmtId="164" fontId="1" fillId="5" borderId="0" xfId="0" applyNumberFormat="1" applyFont="1" applyFill="1" applyAlignment="1">
      <alignment horizontal="right" vertical="center"/>
    </xf>
    <xf numFmtId="164" fontId="1" fillId="5" borderId="23" xfId="0" applyNumberFormat="1" applyFont="1" applyFill="1" applyBorder="1" applyAlignment="1">
      <alignment horizontal="right" vertical="center"/>
    </xf>
    <xf numFmtId="164" fontId="1" fillId="5" borderId="18" xfId="0" applyNumberFormat="1" applyFont="1" applyFill="1" applyBorder="1" applyAlignment="1">
      <alignment horizontal="right" vertical="center"/>
    </xf>
    <xf numFmtId="164" fontId="1" fillId="5" borderId="24" xfId="0" applyNumberFormat="1" applyFont="1" applyFill="1" applyBorder="1" applyAlignment="1">
      <alignment horizontal="right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vertical="center"/>
    </xf>
    <xf numFmtId="0" fontId="3" fillId="5" borderId="0" xfId="0" applyFont="1" applyFill="1" applyAlignment="1">
      <alignment vertical="center"/>
    </xf>
    <xf numFmtId="0" fontId="3" fillId="5" borderId="21" xfId="0" applyFont="1" applyFill="1" applyBorder="1" applyAlignment="1">
      <alignment vertical="center"/>
    </xf>
    <xf numFmtId="0" fontId="3" fillId="5" borderId="18" xfId="0" applyFont="1" applyFill="1" applyBorder="1" applyAlignment="1">
      <alignment vertical="center"/>
    </xf>
    <xf numFmtId="164" fontId="0" fillId="5" borderId="0" xfId="0" applyNumberFormat="1" applyFill="1" applyAlignment="1">
      <alignment horizontal="center" vertical="center"/>
    </xf>
    <xf numFmtId="164" fontId="15" fillId="5" borderId="23" xfId="0" applyNumberFormat="1" applyFont="1" applyFill="1" applyBorder="1" applyAlignment="1">
      <alignment horizontal="center" vertical="center"/>
    </xf>
    <xf numFmtId="164" fontId="0" fillId="5" borderId="18" xfId="0" applyNumberFormat="1" applyFill="1" applyBorder="1" applyAlignment="1">
      <alignment horizontal="center" vertical="center"/>
    </xf>
    <xf numFmtId="164" fontId="15" fillId="5" borderId="24" xfId="0" applyNumberFormat="1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49" fontId="12" fillId="2" borderId="2" xfId="0" applyNumberFormat="1" applyFont="1" applyFill="1" applyBorder="1" applyAlignment="1">
      <alignment horizontal="center" vertical="center"/>
    </xf>
    <xf numFmtId="49" fontId="12" fillId="2" borderId="10" xfId="0" applyNumberFormat="1" applyFont="1" applyFill="1" applyBorder="1" applyAlignment="1">
      <alignment horizontal="center"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164" fontId="0" fillId="4" borderId="20" xfId="0" applyNumberFormat="1" applyFill="1" applyBorder="1" applyAlignment="1">
      <alignment horizontal="center" vertical="center"/>
    </xf>
    <xf numFmtId="164" fontId="14" fillId="4" borderId="0" xfId="0" applyNumberFormat="1" applyFont="1" applyFill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167" fontId="0" fillId="4" borderId="20" xfId="0" applyNumberFormat="1" applyFill="1" applyBorder="1" applyAlignment="1">
      <alignment horizontal="center" vertical="center"/>
    </xf>
    <xf numFmtId="167" fontId="14" fillId="4" borderId="0" xfId="0" applyNumberFormat="1" applyFont="1" applyFill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14" fillId="4" borderId="0" xfId="0" applyNumberFormat="1" applyFont="1" applyFill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1" fontId="14" fillId="4" borderId="23" xfId="0" applyNumberFormat="1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164" fontId="14" fillId="4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170" fontId="14" fillId="4" borderId="0" xfId="0" applyNumberFormat="1" applyFont="1" applyFill="1" applyAlignment="1">
      <alignment horizontal="center"/>
    </xf>
    <xf numFmtId="0" fontId="20" fillId="6" borderId="0" xfId="0" applyFont="1" applyFill="1" applyAlignment="1">
      <alignment horizontal="center" vertical="center"/>
    </xf>
    <xf numFmtId="49" fontId="20" fillId="6" borderId="0" xfId="0" applyNumberFormat="1" applyFont="1" applyFill="1" applyAlignment="1">
      <alignment horizontal="center" vertical="center"/>
    </xf>
    <xf numFmtId="49" fontId="20" fillId="6" borderId="9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2" fillId="5" borderId="5" xfId="0" applyFont="1" applyFill="1" applyBorder="1"/>
    <xf numFmtId="0" fontId="2" fillId="5" borderId="0" xfId="0" applyFont="1" applyFill="1"/>
    <xf numFmtId="3" fontId="0" fillId="5" borderId="0" xfId="0" applyNumberFormat="1" applyFill="1" applyAlignment="1">
      <alignment horizontal="right" vertical="center"/>
    </xf>
    <xf numFmtId="3" fontId="15" fillId="5" borderId="9" xfId="0" applyNumberFormat="1" applyFont="1" applyFill="1" applyBorder="1" applyAlignment="1">
      <alignment horizontal="right" vertical="center"/>
    </xf>
    <xf numFmtId="0" fontId="2" fillId="4" borderId="5" xfId="0" applyFont="1" applyFill="1" applyBorder="1"/>
    <xf numFmtId="0" fontId="2" fillId="4" borderId="0" xfId="0" applyFont="1" applyFill="1"/>
    <xf numFmtId="3" fontId="0" fillId="4" borderId="0" xfId="0" applyNumberFormat="1" applyFill="1" applyAlignment="1">
      <alignment horizontal="right" vertical="center"/>
    </xf>
    <xf numFmtId="3" fontId="15" fillId="4" borderId="9" xfId="0" applyNumberFormat="1" applyFont="1" applyFill="1" applyBorder="1" applyAlignment="1">
      <alignment horizontal="right" vertical="center"/>
    </xf>
    <xf numFmtId="0" fontId="21" fillId="0" borderId="6" xfId="0" applyFont="1" applyBorder="1" applyAlignment="1">
      <alignment wrapText="1"/>
    </xf>
    <xf numFmtId="0" fontId="21" fillId="0" borderId="2" xfId="0" applyFont="1" applyBorder="1"/>
    <xf numFmtId="0" fontId="21" fillId="0" borderId="10" xfId="0" applyFont="1" applyBorder="1"/>
    <xf numFmtId="0" fontId="37" fillId="3" borderId="0" xfId="0" applyFont="1" applyFill="1" applyAlignment="1">
      <alignment horizontal="center"/>
    </xf>
    <xf numFmtId="0" fontId="18" fillId="4" borderId="5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18" fillId="4" borderId="9" xfId="0" applyFont="1" applyFill="1" applyBorder="1" applyAlignment="1">
      <alignment horizontal="left" vertical="center"/>
    </xf>
    <xf numFmtId="0" fontId="18" fillId="5" borderId="5" xfId="0" applyFont="1" applyFill="1" applyBorder="1" applyAlignment="1">
      <alignment horizontal="left" vertical="center"/>
    </xf>
    <xf numFmtId="0" fontId="18" fillId="5" borderId="0" xfId="0" applyFont="1" applyFill="1" applyAlignment="1">
      <alignment horizontal="left" vertical="center"/>
    </xf>
    <xf numFmtId="0" fontId="18" fillId="5" borderId="9" xfId="0" applyFont="1" applyFill="1" applyBorder="1" applyAlignment="1">
      <alignment horizontal="left" vertical="center"/>
    </xf>
    <xf numFmtId="0" fontId="20" fillId="6" borderId="0" xfId="0" applyFont="1" applyFill="1" applyAlignment="1" applyProtection="1">
      <alignment horizontal="center" vertical="center"/>
      <protection locked="0"/>
    </xf>
    <xf numFmtId="0" fontId="20" fillId="6" borderId="9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7" fillId="3" borderId="5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1" fillId="0" borderId="5" xfId="0" applyFont="1" applyBorder="1" applyAlignment="1">
      <alignment wrapText="1"/>
    </xf>
    <xf numFmtId="0" fontId="21" fillId="0" borderId="0" xfId="0" applyFont="1" applyAlignment="1">
      <alignment wrapText="1"/>
    </xf>
    <xf numFmtId="0" fontId="21" fillId="0" borderId="9" xfId="0" applyFont="1" applyBorder="1" applyAlignment="1">
      <alignment wrapText="1"/>
    </xf>
    <xf numFmtId="0" fontId="0" fillId="0" borderId="6" xfId="0" applyBorder="1"/>
    <xf numFmtId="0" fontId="0" fillId="0" borderId="2" xfId="0" applyBorder="1"/>
    <xf numFmtId="0" fontId="0" fillId="0" borderId="10" xfId="0" applyBorder="1"/>
    <xf numFmtId="0" fontId="9" fillId="2" borderId="4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49" fontId="37" fillId="3" borderId="0" xfId="0" applyNumberFormat="1" applyFont="1" applyFill="1" applyAlignment="1">
      <alignment horizontal="center"/>
    </xf>
    <xf numFmtId="0" fontId="38" fillId="5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&quot;₹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" formatCode="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" formatCode="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2F5496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&quot;₹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" formatCode="#,##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5" formatCode="dd/mm/yyyy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protection locked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2F5496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" formatCode="#,##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" formatCode="#,##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" formatCode="#,##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" formatCode="#,##0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2F5496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5" formatCode="dd/mm/yyyy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165" formatCode="dd/mm/yyyy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2F5496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₹&quot;#,##0"/>
      <fill>
        <patternFill patternType="solid">
          <fgColor indexed="64"/>
          <bgColor rgb="FFE6F0FA"/>
        </patternFill>
      </fill>
      <alignment horizontal="right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5" formatCode="dd/mm/yyyy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general" vertical="center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center" textRotation="0" wrapText="0" indent="0" justifyLastLine="0" shrinkToFit="0" readingOrder="0"/>
      <protection locked="0"/>
    </dxf>
    <dxf>
      <protection locked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2F5496"/>
        </patternFill>
      </fill>
      <alignment horizontal="center" vertical="center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center" vertical="bottom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" formatCode="#,##0"/>
      <fill>
        <patternFill patternType="solid">
          <fgColor indexed="64"/>
          <bgColor rgb="FFE6F0FA"/>
        </patternFill>
      </fill>
      <alignment horizontal="center" vertical="bottom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alignment horizontal="center" vertical="bottom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fill>
        <patternFill patternType="solid">
          <fgColor indexed="64"/>
          <bgColor rgb="FFE6F0FA"/>
        </patternFill>
      </fill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bottom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5" formatCode="dd/mm/yyyy"/>
      <fill>
        <patternFill patternType="solid">
          <fgColor indexed="64"/>
          <bgColor rgb="FFE6F0FA"/>
        </patternFill>
      </fill>
      <alignment horizontal="center" vertical="bottom" textRotation="0" wrapText="0" indent="0" justifyLastLine="0" shrinkToFit="0" readingOrder="0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0" formatCode="@"/>
      <fill>
        <patternFill patternType="solid">
          <fgColor indexed="64"/>
          <bgColor rgb="FFE6F0FA"/>
        </patternFill>
      </fill>
      <alignment horizontal="center" vertical="bottom" textRotation="0" wrapText="0" indent="0" justifyLastLine="0" shrinkToFit="0" readingOrder="0"/>
      <protection locked="0"/>
    </dxf>
    <dxf>
      <protection locked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2F5496"/>
        </patternFill>
      </fill>
      <alignment horizontal="center" vertical="center" textRotation="0" wrapText="0" indent="0" justifyLastLine="0" shrinkToFit="0" readingOrder="0"/>
      <protection locked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rgbClr val="1B365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Sales — September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rgbClr val="1B365D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DASHBOARD!$AB$2:$AB$31</c:f>
              <c:numCache>
                <c:formatCode>\₹#,##0</c:formatCode>
                <c:ptCount val="30"/>
                <c:pt idx="0">
                  <c:v>48200</c:v>
                </c:pt>
                <c:pt idx="1">
                  <c:v>19079</c:v>
                </c:pt>
                <c:pt idx="2">
                  <c:v>6893</c:v>
                </c:pt>
                <c:pt idx="3">
                  <c:v>35420</c:v>
                </c:pt>
                <c:pt idx="4">
                  <c:v>2498</c:v>
                </c:pt>
                <c:pt idx="5">
                  <c:v>19900</c:v>
                </c:pt>
                <c:pt idx="6">
                  <c:v>23398</c:v>
                </c:pt>
                <c:pt idx="7">
                  <c:v>13121</c:v>
                </c:pt>
                <c:pt idx="8">
                  <c:v>7599</c:v>
                </c:pt>
                <c:pt idx="9">
                  <c:v>3398</c:v>
                </c:pt>
                <c:pt idx="10">
                  <c:v>28850</c:v>
                </c:pt>
                <c:pt idx="11">
                  <c:v>12598</c:v>
                </c:pt>
                <c:pt idx="12">
                  <c:v>7498</c:v>
                </c:pt>
                <c:pt idx="13">
                  <c:v>7596</c:v>
                </c:pt>
                <c:pt idx="14">
                  <c:v>47400</c:v>
                </c:pt>
                <c:pt idx="15">
                  <c:v>19795</c:v>
                </c:pt>
                <c:pt idx="16">
                  <c:v>8396</c:v>
                </c:pt>
                <c:pt idx="17">
                  <c:v>36700</c:v>
                </c:pt>
                <c:pt idx="18">
                  <c:v>14596</c:v>
                </c:pt>
                <c:pt idx="19">
                  <c:v>6697</c:v>
                </c:pt>
                <c:pt idx="20">
                  <c:v>5749</c:v>
                </c:pt>
                <c:pt idx="21">
                  <c:v>5118</c:v>
                </c:pt>
                <c:pt idx="22">
                  <c:v>18100</c:v>
                </c:pt>
                <c:pt idx="23">
                  <c:v>12500</c:v>
                </c:pt>
                <c:pt idx="24">
                  <c:v>46600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DASHBOARD!$AA$2:$AA$31</c15:sqref>
                        </c15:formulaRef>
                      </c:ext>
                    </c:extLst>
                    <c:strCache>
                      <c:ptCount val="30"/>
                      <c:pt idx="0">
                        <c:v>2026-08-31T18:30:00.000Z</c:v>
                      </c:pt>
                      <c:pt idx="1">
                        <c:v>2026-09-01T18:30:00.000Z</c:v>
                      </c:pt>
                      <c:pt idx="2">
                        <c:v>2026-09-02T18:30:00.000Z</c:v>
                      </c:pt>
                      <c:pt idx="3">
                        <c:v>2026-09-03T18:30:00.000Z</c:v>
                      </c:pt>
                      <c:pt idx="4">
                        <c:v>2026-09-04T18:30:00.000Z</c:v>
                      </c:pt>
                      <c:pt idx="5">
                        <c:v>2026-09-05T18:30:00.000Z</c:v>
                      </c:pt>
                      <c:pt idx="6">
                        <c:v>2026-09-06T18:30:00.000Z</c:v>
                      </c:pt>
                      <c:pt idx="7">
                        <c:v>2026-09-07T18:30:00.000Z</c:v>
                      </c:pt>
                      <c:pt idx="8">
                        <c:v>2026-09-08T18:30:00.000Z</c:v>
                      </c:pt>
                      <c:pt idx="9">
                        <c:v>2026-09-09T18:30:00.000Z</c:v>
                      </c:pt>
                      <c:pt idx="10">
                        <c:v>2026-09-10T18:30:00.000Z</c:v>
                      </c:pt>
                      <c:pt idx="11">
                        <c:v>2026-09-11T18:30:00.000Z</c:v>
                      </c:pt>
                      <c:pt idx="12">
                        <c:v>2026-09-12T18:30:00.000Z</c:v>
                      </c:pt>
                      <c:pt idx="13">
                        <c:v>2026-09-13T18:30:00.000Z</c:v>
                      </c:pt>
                      <c:pt idx="14">
                        <c:v>2026-09-14T18:30:00.000Z</c:v>
                      </c:pt>
                      <c:pt idx="15">
                        <c:v>2026-09-15T18:30:00.000Z</c:v>
                      </c:pt>
                      <c:pt idx="16">
                        <c:v>2026-09-16T18:30:00.000Z</c:v>
                      </c:pt>
                      <c:pt idx="17">
                        <c:v>2026-09-17T18:30:00.000Z</c:v>
                      </c:pt>
                      <c:pt idx="18">
                        <c:v>2026-09-18T18:30:00.000Z</c:v>
                      </c:pt>
                      <c:pt idx="19">
                        <c:v>2026-09-19T18:30:00.000Z</c:v>
                      </c:pt>
                      <c:pt idx="20">
                        <c:v>2026-09-20T18:30:00.000Z</c:v>
                      </c:pt>
                      <c:pt idx="21">
                        <c:v>2026-09-21T18:30:00.000Z</c:v>
                      </c:pt>
                      <c:pt idx="22">
                        <c:v>2026-09-22T18:30:00.000Z</c:v>
                      </c:pt>
                      <c:pt idx="23">
                        <c:v>2026-09-23T18:30:00.000Z</c:v>
                      </c:pt>
                      <c:pt idx="24">
                        <c:v>2026-09-24T18:30:00.000Z</c:v>
                      </c:pt>
                      <c:pt idx="25">
                        <c:v>2026-09-25T18:30:00.000Z</c:v>
                      </c:pt>
                      <c:pt idx="26">
                        <c:v>2026-09-26T18:30:00.000Z</c:v>
                      </c:pt>
                      <c:pt idx="27">
                        <c:v>2026-09-27T18:30:00.000Z</c:v>
                      </c:pt>
                      <c:pt idx="28">
                        <c:v>2026-09-28T18:30:00.000Z</c:v>
                      </c:pt>
                      <c:pt idx="29">
                        <c:v>2026-09-29T18:30:00.000Z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91A-494C-8C19-1F0837811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0244751"/>
        <c:axId val="361012719"/>
      </c:barChart>
      <c:catAx>
        <c:axId val="43024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12719"/>
        <c:crosses val="autoZero"/>
        <c:auto val="1"/>
        <c:lblAlgn val="ctr"/>
        <c:lblOffset val="100"/>
        <c:noMultiLvlLbl val="0"/>
      </c:catAx>
      <c:valAx>
        <c:axId val="361012719"/>
        <c:scaling>
          <c:orientation val="minMax"/>
          <c:min val="0"/>
        </c:scaling>
        <c:delete val="0"/>
        <c:axPos val="l"/>
        <c:numFmt formatCode="\₹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44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1676400</xdr:colOff>
          <xdr:row>8</xdr:row>
          <xdr:rowOff>19050</xdr:rowOff>
        </xdr:from>
        <xdr:to>
          <xdr:col>3</xdr:col>
          <xdr:colOff>2514600</xdr:colOff>
          <xdr:row>8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3114675</xdr:colOff>
          <xdr:row>8</xdr:row>
          <xdr:rowOff>28575</xdr:rowOff>
        </xdr:from>
        <xdr:to>
          <xdr:col>3</xdr:col>
          <xdr:colOff>4000500</xdr:colOff>
          <xdr:row>8</xdr:row>
          <xdr:rowOff>266700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10</xdr:row>
          <xdr:rowOff>9525</xdr:rowOff>
        </xdr:from>
        <xdr:to>
          <xdr:col>3</xdr:col>
          <xdr:colOff>2714625</xdr:colOff>
          <xdr:row>10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3314700</xdr:colOff>
          <xdr:row>10</xdr:row>
          <xdr:rowOff>28575</xdr:rowOff>
        </xdr:from>
        <xdr:to>
          <xdr:col>3</xdr:col>
          <xdr:colOff>3819525</xdr:colOff>
          <xdr:row>10</xdr:row>
          <xdr:rowOff>247650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1704975</xdr:colOff>
          <xdr:row>12</xdr:row>
          <xdr:rowOff>19050</xdr:rowOff>
        </xdr:from>
        <xdr:to>
          <xdr:col>3</xdr:col>
          <xdr:colOff>2390775</xdr:colOff>
          <xdr:row>13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3067050</xdr:colOff>
          <xdr:row>12</xdr:row>
          <xdr:rowOff>19050</xdr:rowOff>
        </xdr:from>
        <xdr:to>
          <xdr:col>3</xdr:col>
          <xdr:colOff>3990975</xdr:colOff>
          <xdr:row>12</xdr:row>
          <xdr:rowOff>238125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13</xdr:row>
          <xdr:rowOff>266700</xdr:rowOff>
        </xdr:from>
        <xdr:to>
          <xdr:col>3</xdr:col>
          <xdr:colOff>2543175</xdr:colOff>
          <xdr:row>14</xdr:row>
          <xdr:rowOff>266700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3162300</xdr:colOff>
          <xdr:row>14</xdr:row>
          <xdr:rowOff>19050</xdr:rowOff>
        </xdr:from>
        <xdr:to>
          <xdr:col>3</xdr:col>
          <xdr:colOff>3971925</xdr:colOff>
          <xdr:row>14</xdr:row>
          <xdr:rowOff>257175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28575</xdr:rowOff>
        </xdr:from>
        <xdr:to>
          <xdr:col>0</xdr:col>
          <xdr:colOff>1152525</xdr:colOff>
          <xdr:row>0</xdr:row>
          <xdr:rowOff>323850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11</xdr:row>
          <xdr:rowOff>190500</xdr:rowOff>
        </xdr:from>
        <xdr:to>
          <xdr:col>12</xdr:col>
          <xdr:colOff>19050</xdr:colOff>
          <xdr:row>13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13</xdr:row>
          <xdr:rowOff>0</xdr:rowOff>
        </xdr:from>
        <xdr:to>
          <xdr:col>12</xdr:col>
          <xdr:colOff>0</xdr:colOff>
          <xdr:row>14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Employee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26</xdr:row>
          <xdr:rowOff>171450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14</xdr:row>
          <xdr:rowOff>19050</xdr:rowOff>
        </xdr:from>
        <xdr:to>
          <xdr:col>10</xdr:col>
          <xdr:colOff>1628775</xdr:colOff>
          <xdr:row>15</xdr:row>
          <xdr:rowOff>104775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104775</xdr:rowOff>
        </xdr:from>
        <xdr:to>
          <xdr:col>10</xdr:col>
          <xdr:colOff>1638300</xdr:colOff>
          <xdr:row>16</xdr:row>
          <xdr:rowOff>190500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28575</xdr:rowOff>
        </xdr:from>
        <xdr:to>
          <xdr:col>0</xdr:col>
          <xdr:colOff>1152525</xdr:colOff>
          <xdr:row>0</xdr:row>
          <xdr:rowOff>323850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11</xdr:row>
          <xdr:rowOff>9525</xdr:rowOff>
        </xdr:from>
        <xdr:to>
          <xdr:col>11</xdr:col>
          <xdr:colOff>1981200</xdr:colOff>
          <xdr:row>12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12</xdr:row>
          <xdr:rowOff>19050</xdr:rowOff>
        </xdr:from>
        <xdr:to>
          <xdr:col>11</xdr:col>
          <xdr:colOff>1971675</xdr:colOff>
          <xdr:row>12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33</xdr:row>
          <xdr:rowOff>9525</xdr:rowOff>
        </xdr:from>
        <xdr:to>
          <xdr:col>11</xdr:col>
          <xdr:colOff>1981200</xdr:colOff>
          <xdr:row>34</xdr:row>
          <xdr:rowOff>9525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12</xdr:row>
          <xdr:rowOff>190500</xdr:rowOff>
        </xdr:from>
        <xdr:to>
          <xdr:col>11</xdr:col>
          <xdr:colOff>2000250</xdr:colOff>
          <xdr:row>13</xdr:row>
          <xdr:rowOff>190500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11</xdr:row>
          <xdr:rowOff>66675</xdr:rowOff>
        </xdr:from>
        <xdr:to>
          <xdr:col>14</xdr:col>
          <xdr:colOff>152400</xdr:colOff>
          <xdr:row>12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cutomer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28575</xdr:rowOff>
        </xdr:from>
        <xdr:to>
          <xdr:col>0</xdr:col>
          <xdr:colOff>1152525</xdr:colOff>
          <xdr:row>0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152400</xdr:rowOff>
        </xdr:from>
        <xdr:to>
          <xdr:col>13</xdr:col>
          <xdr:colOff>952500</xdr:colOff>
          <xdr:row>13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981075</xdr:colOff>
          <xdr:row>12</xdr:row>
          <xdr:rowOff>142875</xdr:rowOff>
        </xdr:from>
        <xdr:to>
          <xdr:col>14</xdr:col>
          <xdr:colOff>285750</xdr:colOff>
          <xdr:row>13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35</xdr:row>
          <xdr:rowOff>171450</xdr:rowOff>
        </xdr:from>
        <xdr:to>
          <xdr:col>13</xdr:col>
          <xdr:colOff>1019175</xdr:colOff>
          <xdr:row>37</xdr:row>
          <xdr:rowOff>9525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1171575</xdr:colOff>
          <xdr:row>35</xdr:row>
          <xdr:rowOff>171450</xdr:rowOff>
        </xdr:from>
        <xdr:to>
          <xdr:col>14</xdr:col>
          <xdr:colOff>476250</xdr:colOff>
          <xdr:row>37</xdr:row>
          <xdr:rowOff>9525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704850</xdr:colOff>
          <xdr:row>35</xdr:row>
          <xdr:rowOff>161925</xdr:rowOff>
        </xdr:from>
        <xdr:to>
          <xdr:col>14</xdr:col>
          <xdr:colOff>1657350</xdr:colOff>
          <xdr:row>37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44</xdr:row>
          <xdr:rowOff>161925</xdr:rowOff>
        </xdr:from>
        <xdr:to>
          <xdr:col>13</xdr:col>
          <xdr:colOff>1095375</xdr:colOff>
          <xdr:row>46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1285875</xdr:colOff>
          <xdr:row>44</xdr:row>
          <xdr:rowOff>161925</xdr:rowOff>
        </xdr:from>
        <xdr:to>
          <xdr:col>14</xdr:col>
          <xdr:colOff>590550</xdr:colOff>
          <xdr:row>46</xdr:row>
          <xdr:rowOff>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28575</xdr:rowOff>
        </xdr:from>
        <xdr:to>
          <xdr:col>1</xdr:col>
          <xdr:colOff>9525</xdr:colOff>
          <xdr:row>0</xdr:row>
          <xdr:rowOff>323850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15</xdr:row>
          <xdr:rowOff>190500</xdr:rowOff>
        </xdr:from>
        <xdr:to>
          <xdr:col>13</xdr:col>
          <xdr:colOff>1000125</xdr:colOff>
          <xdr:row>17</xdr:row>
          <xdr:rowOff>19050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1104900</xdr:colOff>
          <xdr:row>16</xdr:row>
          <xdr:rowOff>0</xdr:rowOff>
        </xdr:from>
        <xdr:to>
          <xdr:col>14</xdr:col>
          <xdr:colOff>409575</xdr:colOff>
          <xdr:row>17</xdr:row>
          <xdr:rowOff>28575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28575</xdr:rowOff>
        </xdr:from>
        <xdr:to>
          <xdr:col>0</xdr:col>
          <xdr:colOff>1152525</xdr:colOff>
          <xdr:row>0</xdr:row>
          <xdr:rowOff>323850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15</xdr:row>
          <xdr:rowOff>171450</xdr:rowOff>
        </xdr:from>
        <xdr:to>
          <xdr:col>13</xdr:col>
          <xdr:colOff>1104900</xdr:colOff>
          <xdr:row>17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1238250</xdr:colOff>
          <xdr:row>15</xdr:row>
          <xdr:rowOff>180975</xdr:rowOff>
        </xdr:from>
        <xdr:to>
          <xdr:col>14</xdr:col>
          <xdr:colOff>657225</xdr:colOff>
          <xdr:row>16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39</xdr:row>
          <xdr:rowOff>180975</xdr:rowOff>
        </xdr:from>
        <xdr:to>
          <xdr:col>13</xdr:col>
          <xdr:colOff>1133475</xdr:colOff>
          <xdr:row>41</xdr:row>
          <xdr:rowOff>38100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1219200</xdr:colOff>
          <xdr:row>39</xdr:row>
          <xdr:rowOff>190500</xdr:rowOff>
        </xdr:from>
        <xdr:to>
          <xdr:col>14</xdr:col>
          <xdr:colOff>723900</xdr:colOff>
          <xdr:row>41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876300</xdr:colOff>
          <xdr:row>39</xdr:row>
          <xdr:rowOff>161925</xdr:rowOff>
        </xdr:from>
        <xdr:to>
          <xdr:col>15</xdr:col>
          <xdr:colOff>0</xdr:colOff>
          <xdr:row>41</xdr:row>
          <xdr:rowOff>19050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3B7E30-1808-5049-AD09-129E7F666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28575</xdr:rowOff>
        </xdr:from>
        <xdr:to>
          <xdr:col>1</xdr:col>
          <xdr:colOff>38100</xdr:colOff>
          <xdr:row>0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38100</xdr:rowOff>
        </xdr:from>
        <xdr:to>
          <xdr:col>0</xdr:col>
          <xdr:colOff>1209675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38100</xdr:rowOff>
        </xdr:from>
        <xdr:to>
          <xdr:col>1</xdr:col>
          <xdr:colOff>1152525</xdr:colOff>
          <xdr:row>0</xdr:row>
          <xdr:rowOff>333375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DD713-F288-48C6-BB85-3BA9210165D7}" name="EmployeeMaster" displayName="EmployeeMaster" ref="A2:I52" totalsRowShown="0" headerRowDxfId="63" dataDxfId="62">
  <autoFilter ref="A2:I52" xr:uid="{7FCDD713-F288-48C6-BB85-3BA9210165D7}"/>
  <tableColumns count="9">
    <tableColumn id="1" xr3:uid="{D7148EA3-BD6F-4279-82FA-AAAE462A44C4}" name="Employee ID" dataDxfId="61"/>
    <tableColumn id="2" xr3:uid="{49D9EABB-0641-41A1-B2AF-D1A36AEA6CCB}" name="Employee Name" dataDxfId="60"/>
    <tableColumn id="3" xr3:uid="{4CD95F60-D17C-4BE1-9756-CAC168282EE8}" name="Department" dataDxfId="59"/>
    <tableColumn id="4" xr3:uid="{51476991-CF1A-463F-BF73-2022805D12FB}" name="Designation" dataDxfId="58"/>
    <tableColumn id="5" xr3:uid="{A84076C1-D445-46FF-86EB-93BCA6CEC72D}" name="Joining Date" dataDxfId="57"/>
    <tableColumn id="6" xr3:uid="{A6C93D1A-CFED-45E5-9C6B-09EBE0A8AF85}" name="Basic Salary" dataDxfId="56"/>
    <tableColumn id="7" xr3:uid="{15CADC10-5163-472D-8F05-5F9BCBEA5271}" name="Phone" dataDxfId="55"/>
    <tableColumn id="8" xr3:uid="{9E6727E1-14B9-4140-899E-6AD8D29CE981}" name="Email" dataDxfId="54"/>
    <tableColumn id="9" xr3:uid="{587E0F22-7326-4112-AE0A-7AD7FEFA2613}" name="Status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1A3BB0-C2C6-43FF-A043-DB53E3C62847}" name="CustomerMaster" displayName="CustomerMaster" ref="A2:I53" totalsRowShown="0" headerRowDxfId="52" dataDxfId="51">
  <autoFilter ref="A2:I53" xr:uid="{931A3BB0-C2C6-43FF-A043-DB53E3C62847}"/>
  <tableColumns count="9">
    <tableColumn id="1" xr3:uid="{005040A1-8F25-4EE7-BAE2-EDE69C61AB78}" name="Customer ID" dataDxfId="50"/>
    <tableColumn id="2" xr3:uid="{5B9FD92B-9E5B-478C-98EA-C36303496A03}" name="Customer Name" dataDxfId="49"/>
    <tableColumn id="3" xr3:uid="{D260C96E-4344-4E41-ABFD-AE5B54A6FE0B}" name="Phone" dataDxfId="48"/>
    <tableColumn id="4" xr3:uid="{6B9DE36F-C9EB-4689-A857-285FC1C83287}" name="Email" dataDxfId="47"/>
    <tableColumn id="5" xr3:uid="{624EAD07-FB97-4A13-A4C1-07324F53A0FD}" name="Address" dataDxfId="46"/>
    <tableColumn id="6" xr3:uid="{4B49DB9D-F01B-4847-862C-4E589927D69F}" name="Registration Date" dataDxfId="45"/>
    <tableColumn id="7" xr3:uid="{B6E44BC9-5A12-4923-96A6-96E48906F51B}" name="Total Purchases" dataDxfId="44">
      <calculatedColumnFormula>IF(A3="","",SUMIF(SALES!C:C,A3,SALES!I:I))</calculatedColumnFormula>
    </tableColumn>
    <tableColumn id="8" xr3:uid="{52A628D6-50AD-4007-8F2B-8A2593B60FB4}" name="Last Purchase" dataDxfId="43">
      <calculatedColumnFormula array="1">IF(A3="","",IFERROR(1/(1/MAX(IFERROR(DATEVALUE(LEFT(IF(SALES!$C$3:$C$200=A3,SALES!$B$3:$B$200,""),10)),0))),""))</calculatedColumnFormula>
    </tableColumn>
    <tableColumn id="9" xr3:uid="{963B6373-FBA2-489D-8976-48E3C1AB8C85}" name="Status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AF995-E956-4C7B-A201-55CC74BE09F1}" name="InventoryMaster" displayName="InventoryMaster" ref="A2:L54" totalsRowShown="0" headerRowDxfId="41" dataDxfId="40">
  <autoFilter ref="A2:L54" xr:uid="{986AF995-E956-4C7B-A201-55CC74BE09F1}"/>
  <tableColumns count="12">
    <tableColumn id="1" xr3:uid="{E49D15AA-864E-462A-8A58-45748744115F}" name="Product ID" dataDxfId="39"/>
    <tableColumn id="2" xr3:uid="{A6E378DD-AEE7-4A8A-BF79-D18364EB456E}" name="Product Name" dataDxfId="38"/>
    <tableColumn id="3" xr3:uid="{54326E83-4E4E-4E84-9C61-545860445745}" name="Category" dataDxfId="37"/>
    <tableColumn id="4" xr3:uid="{3EB71B30-4890-4818-8463-4FC7098835A3}" name="Supplier" dataDxfId="36"/>
    <tableColumn id="5" xr3:uid="{4A6D663E-59D2-459A-93B7-D9F65167199E}" name="Purchase Price" dataDxfId="35"/>
    <tableColumn id="6" xr3:uid="{0F67E128-0F1A-4B53-8FB2-31E4EEAD7B27}" name="Selling Price" dataDxfId="34"/>
    <tableColumn id="7" xr3:uid="{29768E88-0D69-48FA-895B-25B600A75099}" name="Opening Stock" dataDxfId="33"/>
    <tableColumn id="8" xr3:uid="{6353E1BE-AB6F-4CF3-A2EE-B23F18843D65}" name="Stock In" dataDxfId="32"/>
    <tableColumn id="9" xr3:uid="{1D5A9308-D69D-40E5-A899-3369D5C6B013}" name="Stock Out" dataDxfId="31"/>
    <tableColumn id="10" xr3:uid="{2E007B31-3784-43EB-8526-2290541E742F}" name="Current Stock" dataDxfId="30">
      <calculatedColumnFormula>G3+H3-I3</calculatedColumnFormula>
    </tableColumn>
    <tableColumn id="11" xr3:uid="{C76C8826-562C-4392-897F-A8E41BCEA5B4}" name="Reorder Level" dataDxfId="29"/>
    <tableColumn id="12" xr3:uid="{FF5B5C57-A154-4A0A-A236-D359087D1A74}" name="Stock Status" dataDxfId="28">
      <calculatedColumnFormula>IF(J3&lt;=SETTINGS!$C$16,"LOW STOCK","OK")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2FF47-7545-43FE-8828-1914DE7A49AF}" name="SalesRegister" displayName="SalesRegister" ref="A2:L55" totalsRowShown="0" headerRowDxfId="27" dataDxfId="26">
  <autoFilter ref="A2:L55" xr:uid="{AA12FF47-7545-43FE-8828-1914DE7A49AF}"/>
  <tableColumns count="12">
    <tableColumn id="1" xr3:uid="{AE78EA3D-9725-430C-9FBB-A98498882372}" name="Sale ID" dataDxfId="25"/>
    <tableColumn id="2" xr3:uid="{4F4267C4-B19C-49F5-A010-EF50657E7C08}" name="Sale Date" dataDxfId="24"/>
    <tableColumn id="3" xr3:uid="{2125784A-7254-4680-9CE8-BF72F2B87F8E}" name="Customer ID" dataDxfId="23"/>
    <tableColumn id="4" xr3:uid="{9A0E2754-E8F1-4265-80FC-E7F0CF6FBE2A}" name="Customer Name" dataDxfId="22"/>
    <tableColumn id="5" xr3:uid="{2CF832EE-0CD2-4329-83E5-87C8D9837F90}" name="Product ID" dataDxfId="21"/>
    <tableColumn id="6" xr3:uid="{D257C728-9CCF-42A0-AE23-D8421BB20129}" name="Product Name" dataDxfId="20"/>
    <tableColumn id="7" xr3:uid="{329C63CA-E5DF-4E42-87CB-F3797067E9B9}" name="Quantity" dataDxfId="19"/>
    <tableColumn id="8" xr3:uid="{56B852D5-DAAE-4BFA-BDFD-48359704B474}" name="Unit Price" dataDxfId="18"/>
    <tableColumn id="9" xr3:uid="{71823026-E19F-476D-B6B4-B11F3D78B3BE}" name="Total Amount" dataDxfId="17">
      <calculatedColumnFormula>G3*H3</calculatedColumnFormula>
    </tableColumn>
    <tableColumn id="10" xr3:uid="{514F6AD0-4517-4602-9BC7-7D93482CA460}" name="Payment Method" dataDxfId="16"/>
    <tableColumn id="11" xr3:uid="{0D712AE6-E97D-41E1-827C-9CD85A58BF31}" name="Salesperson" dataDxfId="15"/>
    <tableColumn id="12" xr3:uid="{2C1316AA-A4A2-4E44-99E2-028858994DDB}" name="Status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6C772F-F6A4-4536-87C7-8A523C779B8D}" name="PayrollRegister" displayName="PayrollRegister" ref="A2:L53" totalsRowShown="0" headerRowDxfId="13" dataDxfId="12">
  <autoFilter ref="A2:L53" xr:uid="{656C772F-F6A4-4536-87C7-8A523C779B8D}"/>
  <tableColumns count="12">
    <tableColumn id="1" xr3:uid="{DF4CDA5E-59EE-4AA7-8BE9-755849E8AE13}" name="Payroll ID" dataDxfId="11"/>
    <tableColumn id="2" xr3:uid="{1AA8C141-2EFD-4C76-80BC-7A6294F0B1D3}" name="Month" dataDxfId="10"/>
    <tableColumn id="3" xr3:uid="{14F41020-AE4F-49E6-AD54-C0F52985C122}" name="Employee ID" dataDxfId="9"/>
    <tableColumn id="4" xr3:uid="{C7127605-31A0-4976-A3BC-50AFAFE18805}" name="Employee Name" dataDxfId="8"/>
    <tableColumn id="5" xr3:uid="{ED3AD2F7-13B4-4A5B-96DB-247A573D194F}" name="Basic Salary" dataDxfId="7"/>
    <tableColumn id="6" xr3:uid="{B599CF1D-E0EB-4954-BD92-1CF5C8D6CF96}" name="Working Days" dataDxfId="6"/>
    <tableColumn id="7" xr3:uid="{4FE2A582-BFE3-46CA-8965-F2014820147D}" name="Present Days" dataDxfId="5"/>
    <tableColumn id="8" xr3:uid="{111CC34C-7E45-4774-989E-AF45E9D7C7AE}" name="Overtime" dataDxfId="4"/>
    <tableColumn id="9" xr3:uid="{37A0F2EE-9972-43C1-A82A-2134EB79E7E5}" name="Allowances" dataDxfId="3"/>
    <tableColumn id="10" xr3:uid="{39360EA8-3A91-484D-8F5C-94AAC8B61F32}" name="Deductions" dataDxfId="2"/>
    <tableColumn id="11" xr3:uid="{BF006003-CF37-4DBA-947A-613AD67292CD}" name="Net Salary" dataDxfId="1">
      <calculatedColumnFormula>E3+H3+I3-J3</calculatedColumnFormula>
    </tableColumn>
    <tableColumn id="12" xr3:uid="{44B033B1-3A07-4E04-AD29-2ED639BF17B2}" name="Payment Status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66492B-DC95-4FC0-A18C-0F6088A57D32}" name="StockLog" displayName="StockLog" ref="A2:H13" totalsRowShown="0" headerRowDxfId="73" dataDxfId="72">
  <autoFilter ref="A2:H13" xr:uid="{ED66492B-DC95-4FC0-A18C-0F6088A57D32}"/>
  <tableColumns count="8">
    <tableColumn id="1" xr3:uid="{926A9795-BFBC-4310-825F-7A2E3017E0F4}" name="Transaction ID" dataDxfId="71"/>
    <tableColumn id="2" xr3:uid="{4000FBBF-34F7-41D7-B0C5-903B01BEA357}" name="Date" dataDxfId="70"/>
    <tableColumn id="3" xr3:uid="{417B5ADB-AF96-4440-AB15-FC36F214B94A}" name="Product ID" dataDxfId="69"/>
    <tableColumn id="4" xr3:uid="{C7A736AC-1081-4558-9F3E-F0F6DBF1C2DE}" name="Product Name" dataDxfId="68"/>
    <tableColumn id="5" xr3:uid="{9F1D6641-3E72-4695-A0F0-474D14B8C8D7}" name="Transaction Type" dataDxfId="67"/>
    <tableColumn id="6" xr3:uid="{2D938289-D855-4A9B-A338-70B0BF9DBDA7}" name="Quantity" dataDxfId="66"/>
    <tableColumn id="7" xr3:uid="{12FA1CB6-6473-4102-95FE-45B1A1432604}" name="Reference" dataDxfId="65"/>
    <tableColumn id="8" xr3:uid="{CE3EEC44-CE4B-4557-8E7D-0A6FD9AFD90D}" name="User/Staff" dataDxfId="6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34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315A0F1-8865-43F2-8937-FEDFAF0C0DD0}">
  <we:reference id="wa200011214" version="1.0.0.1" store="en-US" storeType="OMEX"/>
  <we:alternateReferences>
    <we:reference id="wa200011214" version="1.0.0.1" store="WA200011214" storeType="OMEX"/>
  </we:alternateReferences>
  <we:properties>
    <we:property name="grokConversationBinding" value="{&quot;responseId&quot;:&quot;6b86b948-38ed-4dba-8b2e-a97ce75a6d7a&quot;,&quot;title&quot;:&quot;ERP System Homepage: Professional Alignment&quot;,&quot;transport&quot;:&quot;gateway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hyperlink" Target="mailto:tushar@gmail.com" TargetMode="Externa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4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B454F-7086-4119-BC8D-59321F2C2C17}">
  <sheetPr codeName="Sheet1">
    <tabColor rgb="FF1B365D"/>
  </sheetPr>
  <dimension ref="D1:D25"/>
  <sheetViews>
    <sheetView showGridLines="0" tabSelected="1" topLeftCell="B5" workbookViewId="0">
      <selection activeCell="F11" sqref="F11"/>
    </sheetView>
  </sheetViews>
  <sheetFormatPr defaultRowHeight="15" x14ac:dyDescent="0.25"/>
  <cols>
    <col min="1" max="3" width="22.85546875" customWidth="1"/>
    <col min="4" max="4" width="80" customWidth="1"/>
    <col min="5" max="6" width="22.85546875" customWidth="1"/>
    <col min="7" max="8" width="12.140625" customWidth="1"/>
    <col min="9" max="9" width="13.7109375" customWidth="1"/>
  </cols>
  <sheetData>
    <row r="1" spans="4:4" ht="32.1" customHeight="1" x14ac:dyDescent="0.25"/>
    <row r="2" spans="4:4" ht="21.95" customHeight="1" x14ac:dyDescent="0.25"/>
    <row r="3" spans="4:4" ht="21.95" customHeight="1" thickBot="1" x14ac:dyDescent="0.3"/>
    <row r="4" spans="4:4" ht="21.95" customHeight="1" thickTop="1" x14ac:dyDescent="0.25">
      <c r="D4" s="112"/>
    </row>
    <row r="5" spans="4:4" ht="21.95" customHeight="1" x14ac:dyDescent="0.25">
      <c r="D5" s="113" t="s">
        <v>9</v>
      </c>
    </row>
    <row r="6" spans="4:4" ht="21.95" customHeight="1" x14ac:dyDescent="0.25">
      <c r="D6" s="114" t="s">
        <v>0</v>
      </c>
    </row>
    <row r="7" spans="4:4" ht="21.95" customHeight="1" thickBot="1" x14ac:dyDescent="0.3">
      <c r="D7" s="115"/>
    </row>
    <row r="8" spans="4:4" ht="21.95" customHeight="1" x14ac:dyDescent="0.25">
      <c r="D8" s="116"/>
    </row>
    <row r="9" spans="4:4" ht="21.95" customHeight="1" x14ac:dyDescent="0.25">
      <c r="D9" s="117" t="s">
        <v>10</v>
      </c>
    </row>
    <row r="10" spans="4:4" ht="21.95" customHeight="1" x14ac:dyDescent="0.25">
      <c r="D10" s="116"/>
    </row>
    <row r="11" spans="4:4" ht="21.95" customHeight="1" x14ac:dyDescent="0.25">
      <c r="D11" s="117" t="s">
        <v>11</v>
      </c>
    </row>
    <row r="12" spans="4:4" ht="21.95" customHeight="1" x14ac:dyDescent="0.25">
      <c r="D12" s="116"/>
    </row>
    <row r="13" spans="4:4" ht="21.95" customHeight="1" x14ac:dyDescent="0.25">
      <c r="D13" s="117" t="s">
        <v>12</v>
      </c>
    </row>
    <row r="14" spans="4:4" ht="21.95" customHeight="1" x14ac:dyDescent="0.25">
      <c r="D14" s="116"/>
    </row>
    <row r="15" spans="4:4" ht="21.95" customHeight="1" x14ac:dyDescent="0.25">
      <c r="D15" s="117" t="s">
        <v>13</v>
      </c>
    </row>
    <row r="16" spans="4:4" ht="21.95" customHeight="1" thickBot="1" x14ac:dyDescent="0.3">
      <c r="D16" s="116"/>
    </row>
    <row r="17" spans="4:4" ht="20.100000000000001" customHeight="1" x14ac:dyDescent="0.25">
      <c r="D17" s="118"/>
    </row>
    <row r="18" spans="4:4" ht="20.100000000000001" customHeight="1" x14ac:dyDescent="0.25">
      <c r="D18" s="119" t="s">
        <v>6</v>
      </c>
    </row>
    <row r="19" spans="4:4" ht="20.100000000000001" customHeight="1" x14ac:dyDescent="0.25">
      <c r="D19" s="120"/>
    </row>
    <row r="20" spans="4:4" ht="20.100000000000001" customHeight="1" x14ac:dyDescent="0.25">
      <c r="D20" s="121" t="s">
        <v>14</v>
      </c>
    </row>
    <row r="21" spans="4:4" ht="20.100000000000001" customHeight="1" x14ac:dyDescent="0.25">
      <c r="D21" s="121" t="s">
        <v>15</v>
      </c>
    </row>
    <row r="22" spans="4:4" ht="20.100000000000001" customHeight="1" x14ac:dyDescent="0.25">
      <c r="D22" s="120"/>
    </row>
    <row r="23" spans="4:4" ht="20.100000000000001" customHeight="1" thickBot="1" x14ac:dyDescent="0.3">
      <c r="D23" s="122"/>
    </row>
    <row r="24" spans="4:4" ht="15" customHeight="1" thickTop="1" x14ac:dyDescent="0.25"/>
    <row r="25" spans="4:4" ht="15" customHeight="1" x14ac:dyDescent="0.25"/>
  </sheetData>
  <sheetProtection sheet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Employees">
                <anchor moveWithCells="1" sizeWithCells="1">
                  <from>
                    <xdr:col>3</xdr:col>
                    <xdr:colOff>1676400</xdr:colOff>
                    <xdr:row>8</xdr:row>
                    <xdr:rowOff>19050</xdr:rowOff>
                  </from>
                  <to>
                    <xdr:col>3</xdr:col>
                    <xdr:colOff>2514600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penCustomers">
                <anchor moveWithCells="1" sizeWithCells="1">
                  <from>
                    <xdr:col>3</xdr:col>
                    <xdr:colOff>3114675</xdr:colOff>
                    <xdr:row>8</xdr:row>
                    <xdr:rowOff>28575</xdr:rowOff>
                  </from>
                  <to>
                    <xdr:col>3</xdr:col>
                    <xdr:colOff>4000500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Inventory">
                <anchor moveWithCells="1" sizeWithCells="1">
                  <from>
                    <xdr:col>3</xdr:col>
                    <xdr:colOff>1876425</xdr:colOff>
                    <xdr:row>10</xdr:row>
                    <xdr:rowOff>9525</xdr:rowOff>
                  </from>
                  <to>
                    <xdr:col>3</xdr:col>
                    <xdr:colOff>2714625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Sales">
                <anchor moveWithCells="1" sizeWithCells="1">
                  <from>
                    <xdr:col>3</xdr:col>
                    <xdr:colOff>3314700</xdr:colOff>
                    <xdr:row>10</xdr:row>
                    <xdr:rowOff>28575</xdr:rowOff>
                  </from>
                  <to>
                    <xdr:col>3</xdr:col>
                    <xdr:colOff>3819525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Payroll">
                <anchor moveWithCells="1" sizeWithCells="1">
                  <from>
                    <xdr:col>3</xdr:col>
                    <xdr:colOff>1704975</xdr:colOff>
                    <xdr:row>12</xdr:row>
                    <xdr:rowOff>19050</xdr:rowOff>
                  </from>
                  <to>
                    <xdr:col>3</xdr:col>
                    <xdr:colOff>2390775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OpenDashboard">
                <anchor moveWithCells="1" sizeWithCells="1">
                  <from>
                    <xdr:col>3</xdr:col>
                    <xdr:colOff>3067050</xdr:colOff>
                    <xdr:row>12</xdr:row>
                    <xdr:rowOff>19050</xdr:rowOff>
                  </from>
                  <to>
                    <xdr:col>3</xdr:col>
                    <xdr:colOff>3990975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OpenReports">
                <anchor moveWithCells="1" sizeWithCells="1">
                  <from>
                    <xdr:col>3</xdr:col>
                    <xdr:colOff>1790700</xdr:colOff>
                    <xdr:row>13</xdr:row>
                    <xdr:rowOff>266700</xdr:rowOff>
                  </from>
                  <to>
                    <xdr:col>3</xdr:col>
                    <xdr:colOff>2543175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OpenSettings">
                <anchor moveWithCells="1" sizeWithCells="1">
                  <from>
                    <xdr:col>3</xdr:col>
                    <xdr:colOff>3162300</xdr:colOff>
                    <xdr:row>14</xdr:row>
                    <xdr:rowOff>19050</xdr:rowOff>
                  </from>
                  <to>
                    <xdr:col>3</xdr:col>
                    <xdr:colOff>3971925</xdr:colOff>
                    <xdr:row>14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110C6-2AAA-412D-9F25-EF8B95D3CB19}">
  <sheetPr codeName="Sheet2">
    <tabColor rgb="FF1B365D"/>
  </sheetPr>
  <dimension ref="A1:N80"/>
  <sheetViews>
    <sheetView showGridLines="0" topLeftCell="E1" workbookViewId="0">
      <selection activeCell="O26" sqref="O26"/>
    </sheetView>
  </sheetViews>
  <sheetFormatPr defaultRowHeight="15" x14ac:dyDescent="0.25"/>
  <cols>
    <col min="1" max="1" width="22.85546875" customWidth="1"/>
    <col min="2" max="2" width="24.7109375" customWidth="1"/>
    <col min="3" max="3" width="19" customWidth="1"/>
    <col min="4" max="4" width="28.5703125" customWidth="1"/>
    <col min="5" max="5" width="24.7109375" customWidth="1"/>
    <col min="6" max="7" width="21" customWidth="1"/>
    <col min="8" max="8" width="30.42578125" customWidth="1"/>
    <col min="9" max="9" width="17.140625" customWidth="1"/>
    <col min="11" max="11" width="24.7109375" customWidth="1"/>
    <col min="12" max="12" width="30.42578125" customWidth="1"/>
    <col min="14" max="14" width="9.140625" style="1"/>
  </cols>
  <sheetData>
    <row r="1" spans="1:14" ht="27.95" customHeight="1" x14ac:dyDescent="0.35">
      <c r="A1" s="135" t="s">
        <v>16</v>
      </c>
      <c r="B1" s="136"/>
      <c r="C1" s="136"/>
      <c r="D1" s="136"/>
      <c r="E1" s="136"/>
      <c r="F1" s="136"/>
      <c r="G1" s="136"/>
      <c r="H1" s="136"/>
      <c r="I1" s="136"/>
      <c r="K1" s="131" t="s">
        <v>796</v>
      </c>
      <c r="L1" s="137"/>
      <c r="N1" s="1" t="s">
        <v>8</v>
      </c>
    </row>
    <row r="2" spans="1:14" ht="21.95" customHeight="1" x14ac:dyDescent="0.25">
      <c r="A2" s="6" t="s">
        <v>17</v>
      </c>
      <c r="B2" s="6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6" t="s">
        <v>23</v>
      </c>
      <c r="H2" s="6" t="s">
        <v>24</v>
      </c>
      <c r="I2" s="6" t="s">
        <v>25</v>
      </c>
      <c r="K2" s="7"/>
      <c r="L2" s="8"/>
      <c r="N2" s="1" t="s">
        <v>34</v>
      </c>
    </row>
    <row r="3" spans="1:14" x14ac:dyDescent="0.25">
      <c r="A3" s="14" t="s">
        <v>26</v>
      </c>
      <c r="B3" s="15" t="s">
        <v>27</v>
      </c>
      <c r="C3" s="16" t="s">
        <v>8</v>
      </c>
      <c r="D3" s="15" t="s">
        <v>28</v>
      </c>
      <c r="E3" s="17" t="s">
        <v>154</v>
      </c>
      <c r="F3" s="18">
        <v>30000</v>
      </c>
      <c r="G3" s="15" t="s">
        <v>29</v>
      </c>
      <c r="H3" s="15" t="s">
        <v>30</v>
      </c>
      <c r="I3" s="16" t="s">
        <v>31</v>
      </c>
      <c r="K3" s="9" t="s">
        <v>18</v>
      </c>
      <c r="L3" s="24"/>
      <c r="N3" s="1" t="s">
        <v>40</v>
      </c>
    </row>
    <row r="4" spans="1:14" x14ac:dyDescent="0.25">
      <c r="A4" s="14" t="s">
        <v>32</v>
      </c>
      <c r="B4" s="15" t="s">
        <v>33</v>
      </c>
      <c r="C4" s="16" t="s">
        <v>34</v>
      </c>
      <c r="D4" s="15" t="s">
        <v>35</v>
      </c>
      <c r="E4" s="17" t="s">
        <v>155</v>
      </c>
      <c r="F4" s="18">
        <v>25000</v>
      </c>
      <c r="G4" s="15" t="s">
        <v>36</v>
      </c>
      <c r="H4" s="15" t="s">
        <v>37</v>
      </c>
      <c r="I4" s="16" t="s">
        <v>31</v>
      </c>
      <c r="K4" s="9" t="s">
        <v>19</v>
      </c>
      <c r="L4" s="24"/>
      <c r="N4" s="1" t="s">
        <v>46</v>
      </c>
    </row>
    <row r="5" spans="1:14" x14ac:dyDescent="0.25">
      <c r="A5" s="14" t="s">
        <v>38</v>
      </c>
      <c r="B5" s="15" t="s">
        <v>39</v>
      </c>
      <c r="C5" s="16" t="s">
        <v>40</v>
      </c>
      <c r="D5" s="15" t="s">
        <v>41</v>
      </c>
      <c r="E5" s="17" t="s">
        <v>156</v>
      </c>
      <c r="F5" s="18">
        <v>28000</v>
      </c>
      <c r="G5" s="15" t="s">
        <v>42</v>
      </c>
      <c r="H5" s="15" t="s">
        <v>43</v>
      </c>
      <c r="I5" s="16" t="s">
        <v>31</v>
      </c>
      <c r="K5" s="9" t="s">
        <v>20</v>
      </c>
      <c r="L5" s="24"/>
      <c r="N5" s="1" t="s">
        <v>62</v>
      </c>
    </row>
    <row r="6" spans="1:14" x14ac:dyDescent="0.25">
      <c r="A6" s="14" t="s">
        <v>44</v>
      </c>
      <c r="B6" s="15" t="s">
        <v>45</v>
      </c>
      <c r="C6" s="16" t="s">
        <v>46</v>
      </c>
      <c r="D6" s="15" t="s">
        <v>47</v>
      </c>
      <c r="E6" s="17" t="s">
        <v>157</v>
      </c>
      <c r="F6" s="18">
        <v>35000</v>
      </c>
      <c r="G6" s="15" t="s">
        <v>48</v>
      </c>
      <c r="H6" s="15" t="s">
        <v>49</v>
      </c>
      <c r="I6" s="16" t="s">
        <v>31</v>
      </c>
      <c r="K6" s="9" t="s">
        <v>21</v>
      </c>
      <c r="L6" s="25"/>
    </row>
    <row r="7" spans="1:14" x14ac:dyDescent="0.25">
      <c r="A7" s="14" t="s">
        <v>50</v>
      </c>
      <c r="B7" s="15" t="s">
        <v>51</v>
      </c>
      <c r="C7" s="16" t="s">
        <v>8</v>
      </c>
      <c r="D7" s="15" t="s">
        <v>52</v>
      </c>
      <c r="E7" s="17" t="s">
        <v>158</v>
      </c>
      <c r="F7" s="18">
        <v>22000</v>
      </c>
      <c r="G7" s="15" t="s">
        <v>53</v>
      </c>
      <c r="H7" s="15" t="s">
        <v>54</v>
      </c>
      <c r="I7" s="16" t="s">
        <v>31</v>
      </c>
      <c r="K7" s="9" t="s">
        <v>22</v>
      </c>
      <c r="L7" s="26"/>
      <c r="N7" s="1" t="s">
        <v>31</v>
      </c>
    </row>
    <row r="8" spans="1:14" x14ac:dyDescent="0.25">
      <c r="A8" s="14" t="s">
        <v>55</v>
      </c>
      <c r="B8" s="15" t="s">
        <v>56</v>
      </c>
      <c r="C8" s="16" t="s">
        <v>34</v>
      </c>
      <c r="D8" s="15" t="s">
        <v>57</v>
      </c>
      <c r="E8" s="17" t="s">
        <v>159</v>
      </c>
      <c r="F8" s="18">
        <v>40000</v>
      </c>
      <c r="G8" s="15" t="s">
        <v>58</v>
      </c>
      <c r="H8" s="15" t="s">
        <v>59</v>
      </c>
      <c r="I8" s="16" t="s">
        <v>31</v>
      </c>
      <c r="K8" s="9" t="s">
        <v>23</v>
      </c>
      <c r="L8" s="27"/>
      <c r="N8" s="1" t="s">
        <v>71</v>
      </c>
    </row>
    <row r="9" spans="1:14" x14ac:dyDescent="0.25">
      <c r="A9" s="14" t="s">
        <v>60</v>
      </c>
      <c r="B9" s="15" t="s">
        <v>61</v>
      </c>
      <c r="C9" s="16" t="s">
        <v>62</v>
      </c>
      <c r="D9" s="15" t="s">
        <v>63</v>
      </c>
      <c r="E9" s="17" t="s">
        <v>160</v>
      </c>
      <c r="F9" s="18">
        <v>32000</v>
      </c>
      <c r="G9" s="15" t="s">
        <v>64</v>
      </c>
      <c r="H9" s="15" t="s">
        <v>65</v>
      </c>
      <c r="I9" s="16" t="s">
        <v>31</v>
      </c>
      <c r="K9" s="9" t="s">
        <v>24</v>
      </c>
      <c r="L9" s="27"/>
    </row>
    <row r="10" spans="1:14" x14ac:dyDescent="0.25">
      <c r="A10" s="14" t="s">
        <v>66</v>
      </c>
      <c r="B10" s="15" t="s">
        <v>67</v>
      </c>
      <c r="C10" s="16" t="s">
        <v>46</v>
      </c>
      <c r="D10" s="15" t="s">
        <v>68</v>
      </c>
      <c r="E10" s="17" t="s">
        <v>161</v>
      </c>
      <c r="F10" s="18">
        <v>24000</v>
      </c>
      <c r="G10" s="15" t="s">
        <v>69</v>
      </c>
      <c r="H10" s="15" t="s">
        <v>70</v>
      </c>
      <c r="I10" s="16" t="s">
        <v>71</v>
      </c>
      <c r="K10" s="9" t="s">
        <v>25</v>
      </c>
      <c r="L10" s="28" t="s">
        <v>31</v>
      </c>
    </row>
    <row r="11" spans="1:14" x14ac:dyDescent="0.25">
      <c r="A11" s="14" t="s">
        <v>72</v>
      </c>
      <c r="B11" s="15" t="s">
        <v>73</v>
      </c>
      <c r="C11" s="16" t="s">
        <v>8</v>
      </c>
      <c r="D11" s="15" t="s">
        <v>74</v>
      </c>
      <c r="E11" s="17" t="s">
        <v>162</v>
      </c>
      <c r="F11" s="18">
        <v>38000</v>
      </c>
      <c r="G11" s="15" t="s">
        <v>75</v>
      </c>
      <c r="H11" s="15" t="s">
        <v>76</v>
      </c>
      <c r="I11" s="16" t="s">
        <v>31</v>
      </c>
      <c r="K11" s="9" t="s">
        <v>17</v>
      </c>
      <c r="L11" s="11" t="str">
        <f>"EMP"&amp;TEXT(COUNTA(EmployeeMaster[Employee ID])+1,"000")</f>
        <v>EMP051</v>
      </c>
    </row>
    <row r="12" spans="1:14" ht="15.75" thickBot="1" x14ac:dyDescent="0.3">
      <c r="A12" s="14" t="s">
        <v>77</v>
      </c>
      <c r="B12" s="15" t="s">
        <v>78</v>
      </c>
      <c r="C12" s="16" t="s">
        <v>34</v>
      </c>
      <c r="D12" s="15" t="s">
        <v>35</v>
      </c>
      <c r="E12" s="17" t="s">
        <v>163</v>
      </c>
      <c r="F12" s="18">
        <v>25000</v>
      </c>
      <c r="G12" s="15" t="s">
        <v>79</v>
      </c>
      <c r="H12" s="15" t="s">
        <v>80</v>
      </c>
      <c r="I12" s="16" t="s">
        <v>31</v>
      </c>
      <c r="K12" s="7"/>
      <c r="L12" s="11" t="str">
        <f>"EMP"&amp;TEXT(COUNTA(EmployeeMaster[Employee ID])+1,"000")</f>
        <v>EMP051</v>
      </c>
    </row>
    <row r="13" spans="1:14" ht="15.75" thickBot="1" x14ac:dyDescent="0.3">
      <c r="A13" s="14" t="s">
        <v>81</v>
      </c>
      <c r="B13" s="15" t="s">
        <v>82</v>
      </c>
      <c r="C13" s="16" t="s">
        <v>40</v>
      </c>
      <c r="D13" s="15" t="s">
        <v>83</v>
      </c>
      <c r="E13" s="17" t="s">
        <v>164</v>
      </c>
      <c r="F13" s="18">
        <v>27000</v>
      </c>
      <c r="G13" s="15" t="s">
        <v>84</v>
      </c>
      <c r="H13" s="15" t="s">
        <v>85</v>
      </c>
      <c r="I13" s="16" t="s">
        <v>31</v>
      </c>
      <c r="K13" s="138" t="s">
        <v>797</v>
      </c>
      <c r="L13" s="139"/>
    </row>
    <row r="14" spans="1:14" ht="15.75" thickBot="1" x14ac:dyDescent="0.3">
      <c r="A14" s="14" t="s">
        <v>86</v>
      </c>
      <c r="B14" s="15" t="s">
        <v>87</v>
      </c>
      <c r="C14" s="16" t="s">
        <v>46</v>
      </c>
      <c r="D14" s="15" t="s">
        <v>88</v>
      </c>
      <c r="E14" s="17" t="s">
        <v>165</v>
      </c>
      <c r="F14" s="18">
        <v>26000</v>
      </c>
      <c r="G14" s="15" t="s">
        <v>89</v>
      </c>
      <c r="H14" s="15" t="s">
        <v>90</v>
      </c>
      <c r="I14" s="16" t="s">
        <v>31</v>
      </c>
      <c r="K14" s="140" t="s">
        <v>798</v>
      </c>
      <c r="L14" s="141"/>
    </row>
    <row r="15" spans="1:14" x14ac:dyDescent="0.25">
      <c r="A15" s="14" t="s">
        <v>91</v>
      </c>
      <c r="B15" s="15" t="s">
        <v>92</v>
      </c>
      <c r="C15" s="16" t="s">
        <v>8</v>
      </c>
      <c r="D15" s="15" t="s">
        <v>93</v>
      </c>
      <c r="E15" s="17" t="s">
        <v>166</v>
      </c>
      <c r="F15" s="18">
        <v>20000</v>
      </c>
      <c r="G15" s="15" t="s">
        <v>94</v>
      </c>
      <c r="H15" s="15" t="s">
        <v>95</v>
      </c>
      <c r="I15" s="16" t="s">
        <v>31</v>
      </c>
      <c r="K15" s="7"/>
      <c r="L15" s="8"/>
    </row>
    <row r="16" spans="1:14" x14ac:dyDescent="0.25">
      <c r="A16" s="14" t="s">
        <v>96</v>
      </c>
      <c r="B16" s="15" t="s">
        <v>97</v>
      </c>
      <c r="C16" s="16" t="s">
        <v>34</v>
      </c>
      <c r="D16" s="15" t="s">
        <v>98</v>
      </c>
      <c r="E16" s="17" t="s">
        <v>167</v>
      </c>
      <c r="F16" s="18">
        <v>30000</v>
      </c>
      <c r="G16" s="15" t="s">
        <v>99</v>
      </c>
      <c r="H16" s="15" t="s">
        <v>100</v>
      </c>
      <c r="I16" s="16" t="s">
        <v>31</v>
      </c>
      <c r="K16" s="142" t="s">
        <v>799</v>
      </c>
      <c r="L16" s="143"/>
    </row>
    <row r="17" spans="1:12" ht="15.75" thickBot="1" x14ac:dyDescent="0.3">
      <c r="A17" s="14" t="s">
        <v>101</v>
      </c>
      <c r="B17" s="15" t="s">
        <v>102</v>
      </c>
      <c r="C17" s="16" t="s">
        <v>62</v>
      </c>
      <c r="D17" s="15" t="s">
        <v>103</v>
      </c>
      <c r="E17" s="17" t="s">
        <v>168</v>
      </c>
      <c r="F17" s="18">
        <v>21000</v>
      </c>
      <c r="G17" s="15" t="s">
        <v>104</v>
      </c>
      <c r="H17" s="15" t="s">
        <v>105</v>
      </c>
      <c r="I17" s="16" t="s">
        <v>31</v>
      </c>
      <c r="K17" s="129"/>
      <c r="L17" s="130"/>
    </row>
    <row r="18" spans="1:12" x14ac:dyDescent="0.25">
      <c r="A18" s="14" t="s">
        <v>106</v>
      </c>
      <c r="B18" s="15" t="s">
        <v>107</v>
      </c>
      <c r="C18" s="16" t="s">
        <v>46</v>
      </c>
      <c r="D18" s="15" t="s">
        <v>108</v>
      </c>
      <c r="E18" s="17" t="s">
        <v>169</v>
      </c>
      <c r="F18" s="18">
        <v>19000</v>
      </c>
      <c r="G18" s="15" t="s">
        <v>109</v>
      </c>
      <c r="H18" s="15" t="s">
        <v>110</v>
      </c>
      <c r="I18" s="16" t="s">
        <v>31</v>
      </c>
    </row>
    <row r="19" spans="1:12" ht="15.75" thickBot="1" x14ac:dyDescent="0.3">
      <c r="A19" s="14" t="s">
        <v>111</v>
      </c>
      <c r="B19" s="15" t="s">
        <v>112</v>
      </c>
      <c r="C19" s="16" t="s">
        <v>40</v>
      </c>
      <c r="D19" s="15" t="s">
        <v>113</v>
      </c>
      <c r="E19" s="17" t="s">
        <v>170</v>
      </c>
      <c r="F19" s="18">
        <v>42000</v>
      </c>
      <c r="G19" s="15" t="s">
        <v>114</v>
      </c>
      <c r="H19" s="15" t="s">
        <v>115</v>
      </c>
      <c r="I19" s="16" t="s">
        <v>31</v>
      </c>
    </row>
    <row r="20" spans="1:12" ht="18.75" x14ac:dyDescent="0.25">
      <c r="A20" s="14" t="s">
        <v>116</v>
      </c>
      <c r="B20" s="15" t="s">
        <v>117</v>
      </c>
      <c r="C20" s="16" t="s">
        <v>34</v>
      </c>
      <c r="D20" s="15" t="s">
        <v>35</v>
      </c>
      <c r="E20" s="17" t="s">
        <v>171</v>
      </c>
      <c r="F20" s="18">
        <v>25000</v>
      </c>
      <c r="G20" s="15" t="s">
        <v>118</v>
      </c>
      <c r="H20" s="15" t="s">
        <v>119</v>
      </c>
      <c r="I20" s="16" t="s">
        <v>31</v>
      </c>
      <c r="K20" s="131" t="s">
        <v>802</v>
      </c>
      <c r="L20" s="132"/>
    </row>
    <row r="21" spans="1:12" x14ac:dyDescent="0.25">
      <c r="A21" s="14" t="s">
        <v>120</v>
      </c>
      <c r="B21" s="15" t="s">
        <v>121</v>
      </c>
      <c r="C21" s="16" t="s">
        <v>8</v>
      </c>
      <c r="D21" s="15" t="s">
        <v>28</v>
      </c>
      <c r="E21" s="17" t="s">
        <v>172</v>
      </c>
      <c r="F21" s="18">
        <v>30000</v>
      </c>
      <c r="G21" s="15" t="s">
        <v>122</v>
      </c>
      <c r="H21" s="15" t="s">
        <v>123</v>
      </c>
      <c r="I21" s="16" t="s">
        <v>31</v>
      </c>
      <c r="K21" s="7"/>
      <c r="L21" s="29"/>
    </row>
    <row r="22" spans="1:12" x14ac:dyDescent="0.25">
      <c r="A22" s="14" t="s">
        <v>124</v>
      </c>
      <c r="B22" s="15" t="s">
        <v>125</v>
      </c>
      <c r="C22" s="16" t="s">
        <v>46</v>
      </c>
      <c r="D22" s="15" t="s">
        <v>126</v>
      </c>
      <c r="E22" s="17" t="s">
        <v>173</v>
      </c>
      <c r="F22" s="18">
        <v>26000</v>
      </c>
      <c r="G22" s="15" t="s">
        <v>127</v>
      </c>
      <c r="H22" s="15" t="s">
        <v>128</v>
      </c>
      <c r="I22" s="16" t="s">
        <v>31</v>
      </c>
      <c r="K22" s="9" t="s">
        <v>803</v>
      </c>
      <c r="L22" s="10" t="s">
        <v>124</v>
      </c>
    </row>
    <row r="23" spans="1:12" x14ac:dyDescent="0.25">
      <c r="A23" s="14" t="s">
        <v>129</v>
      </c>
      <c r="B23" s="15" t="s">
        <v>130</v>
      </c>
      <c r="C23" s="16" t="s">
        <v>40</v>
      </c>
      <c r="D23" s="15" t="s">
        <v>131</v>
      </c>
      <c r="E23" s="17" t="s">
        <v>174</v>
      </c>
      <c r="F23" s="18">
        <v>29000</v>
      </c>
      <c r="G23" s="15" t="s">
        <v>132</v>
      </c>
      <c r="H23" s="15" t="s">
        <v>133</v>
      </c>
      <c r="I23" s="16" t="s">
        <v>31</v>
      </c>
      <c r="K23" s="9" t="s">
        <v>18</v>
      </c>
      <c r="L23" s="12" t="str">
        <f>IF($L$22="","",IFERROR(_xlfn.XLOOKUP($L$22,EmployeeMaster[Employee ID],EmployeeMaster[Employee Name]),"Not found"))</f>
        <v>Karan Singh</v>
      </c>
    </row>
    <row r="24" spans="1:12" x14ac:dyDescent="0.25">
      <c r="A24" s="14" t="s">
        <v>134</v>
      </c>
      <c r="B24" s="15" t="s">
        <v>135</v>
      </c>
      <c r="C24" s="16" t="s">
        <v>34</v>
      </c>
      <c r="D24" s="15" t="s">
        <v>136</v>
      </c>
      <c r="E24" s="17" t="s">
        <v>175</v>
      </c>
      <c r="F24" s="18">
        <v>18000</v>
      </c>
      <c r="G24" s="15" t="s">
        <v>137</v>
      </c>
      <c r="H24" s="15" t="s">
        <v>138</v>
      </c>
      <c r="I24" s="16" t="s">
        <v>71</v>
      </c>
      <c r="K24" s="9" t="s">
        <v>19</v>
      </c>
      <c r="L24" s="12" t="str">
        <f>IF($L$22="","",IFERROR(_xlfn.XLOOKUP($L$22,EmployeeMaster[Employee ID],EmployeeMaster[Department]),"Not found"))</f>
        <v>Inventory</v>
      </c>
    </row>
    <row r="25" spans="1:12" x14ac:dyDescent="0.25">
      <c r="A25" s="14" t="s">
        <v>139</v>
      </c>
      <c r="B25" s="15" t="s">
        <v>140</v>
      </c>
      <c r="C25" s="16" t="s">
        <v>62</v>
      </c>
      <c r="D25" s="15" t="s">
        <v>141</v>
      </c>
      <c r="E25" s="17" t="s">
        <v>176</v>
      </c>
      <c r="F25" s="18">
        <v>28000</v>
      </c>
      <c r="G25" s="15" t="s">
        <v>142</v>
      </c>
      <c r="H25" s="15" t="s">
        <v>143</v>
      </c>
      <c r="I25" s="16" t="s">
        <v>31</v>
      </c>
      <c r="K25" s="9" t="s">
        <v>20</v>
      </c>
      <c r="L25" s="12" t="str">
        <f>IF($L$22="","",IFERROR(_xlfn.XLOOKUP($L$22,EmployeeMaster[Employee ID],EmployeeMaster[Designation]),"Not found"))</f>
        <v>Logistics Executive</v>
      </c>
    </row>
    <row r="26" spans="1:12" x14ac:dyDescent="0.25">
      <c r="A26" s="14" t="s">
        <v>144</v>
      </c>
      <c r="B26" s="15" t="s">
        <v>145</v>
      </c>
      <c r="C26" s="16" t="s">
        <v>46</v>
      </c>
      <c r="D26" s="15" t="s">
        <v>146</v>
      </c>
      <c r="E26" s="17" t="s">
        <v>177</v>
      </c>
      <c r="F26" s="18">
        <v>18000</v>
      </c>
      <c r="G26" s="15" t="s">
        <v>147</v>
      </c>
      <c r="H26" s="15" t="s">
        <v>148</v>
      </c>
      <c r="I26" s="16" t="s">
        <v>31</v>
      </c>
      <c r="K26" s="9" t="s">
        <v>22</v>
      </c>
      <c r="L26" s="13">
        <f>IF($L$22="","",IFERROR(_xlfn.XLOOKUP($L$22,EmployeeMaster[Employee ID],EmployeeMaster[Basic Salary]),"Not found"))</f>
        <v>26000</v>
      </c>
    </row>
    <row r="27" spans="1:12" ht="15.75" thickBot="1" x14ac:dyDescent="0.3">
      <c r="A27" s="14" t="s">
        <v>149</v>
      </c>
      <c r="B27" s="15" t="s">
        <v>150</v>
      </c>
      <c r="C27" s="16" t="s">
        <v>8</v>
      </c>
      <c r="D27" s="15" t="s">
        <v>151</v>
      </c>
      <c r="E27" s="17" t="s">
        <v>178</v>
      </c>
      <c r="F27" s="18">
        <v>33000</v>
      </c>
      <c r="G27" s="15" t="s">
        <v>152</v>
      </c>
      <c r="H27" s="15" t="s">
        <v>153</v>
      </c>
      <c r="I27" s="16" t="s">
        <v>31</v>
      </c>
      <c r="K27" s="7"/>
      <c r="L27" s="29"/>
    </row>
    <row r="28" spans="1:12" ht="15.75" thickBot="1" x14ac:dyDescent="0.3">
      <c r="A28" s="14" t="s">
        <v>800</v>
      </c>
      <c r="B28" s="15" t="s">
        <v>805</v>
      </c>
      <c r="C28" s="16" t="s">
        <v>40</v>
      </c>
      <c r="D28" s="15" t="s">
        <v>806</v>
      </c>
      <c r="E28" s="17" t="s">
        <v>807</v>
      </c>
      <c r="F28" s="18">
        <v>50000</v>
      </c>
      <c r="G28" s="15" t="s">
        <v>109</v>
      </c>
      <c r="H28" s="19" t="s">
        <v>808</v>
      </c>
      <c r="I28" s="16" t="s">
        <v>31</v>
      </c>
      <c r="K28" s="133" t="s">
        <v>804</v>
      </c>
      <c r="L28" s="134"/>
    </row>
    <row r="29" spans="1:12" x14ac:dyDescent="0.25">
      <c r="A29" s="14" t="s">
        <v>831</v>
      </c>
      <c r="B29" s="15" t="s">
        <v>73</v>
      </c>
      <c r="C29" s="16" t="s">
        <v>34</v>
      </c>
      <c r="D29" s="15" t="s">
        <v>35</v>
      </c>
      <c r="E29" s="17" t="s">
        <v>832</v>
      </c>
      <c r="F29" s="18">
        <v>25000</v>
      </c>
      <c r="G29" s="15" t="s">
        <v>324</v>
      </c>
      <c r="H29" s="15" t="s">
        <v>76</v>
      </c>
      <c r="I29" s="16" t="s">
        <v>31</v>
      </c>
    </row>
    <row r="30" spans="1:12" x14ac:dyDescent="0.25">
      <c r="A30" s="14" t="s">
        <v>801</v>
      </c>
      <c r="B30" s="15" t="s">
        <v>833</v>
      </c>
      <c r="C30" s="16" t="s">
        <v>8</v>
      </c>
      <c r="D30" s="15" t="s">
        <v>52</v>
      </c>
      <c r="E30" s="17" t="s">
        <v>834</v>
      </c>
      <c r="F30" s="18">
        <v>22000</v>
      </c>
      <c r="G30" s="15" t="s">
        <v>331</v>
      </c>
      <c r="H30" s="15" t="s">
        <v>835</v>
      </c>
      <c r="I30" s="16" t="s">
        <v>31</v>
      </c>
    </row>
    <row r="31" spans="1:12" x14ac:dyDescent="0.25">
      <c r="A31" s="14" t="s">
        <v>836</v>
      </c>
      <c r="B31" s="15" t="s">
        <v>837</v>
      </c>
      <c r="C31" s="16" t="s">
        <v>40</v>
      </c>
      <c r="D31" s="15" t="s">
        <v>83</v>
      </c>
      <c r="E31" s="17" t="s">
        <v>838</v>
      </c>
      <c r="F31" s="18">
        <v>24000</v>
      </c>
      <c r="G31" s="15" t="s">
        <v>337</v>
      </c>
      <c r="H31" s="15" t="s">
        <v>105</v>
      </c>
      <c r="I31" s="16" t="s">
        <v>31</v>
      </c>
    </row>
    <row r="32" spans="1:12" x14ac:dyDescent="0.25">
      <c r="A32" s="14" t="s">
        <v>839</v>
      </c>
      <c r="B32" s="15" t="s">
        <v>840</v>
      </c>
      <c r="C32" s="16" t="s">
        <v>46</v>
      </c>
      <c r="D32" s="15" t="s">
        <v>841</v>
      </c>
      <c r="E32" s="17" t="s">
        <v>156</v>
      </c>
      <c r="F32" s="18">
        <v>32000</v>
      </c>
      <c r="G32" s="15" t="s">
        <v>343</v>
      </c>
      <c r="H32" s="15" t="s">
        <v>842</v>
      </c>
      <c r="I32" s="16" t="s">
        <v>31</v>
      </c>
    </row>
    <row r="33" spans="1:9" x14ac:dyDescent="0.25">
      <c r="A33" s="14" t="s">
        <v>843</v>
      </c>
      <c r="B33" s="15" t="s">
        <v>61</v>
      </c>
      <c r="C33" s="16" t="s">
        <v>62</v>
      </c>
      <c r="D33" s="15" t="s">
        <v>63</v>
      </c>
      <c r="E33" s="17" t="s">
        <v>157</v>
      </c>
      <c r="F33" s="18">
        <v>30000</v>
      </c>
      <c r="G33" s="15" t="s">
        <v>349</v>
      </c>
      <c r="H33" s="15" t="s">
        <v>844</v>
      </c>
      <c r="I33" s="16" t="s">
        <v>31</v>
      </c>
    </row>
    <row r="34" spans="1:9" x14ac:dyDescent="0.25">
      <c r="A34" s="14" t="s">
        <v>845</v>
      </c>
      <c r="B34" s="15" t="s">
        <v>846</v>
      </c>
      <c r="C34" s="16" t="s">
        <v>34</v>
      </c>
      <c r="D34" s="15" t="s">
        <v>847</v>
      </c>
      <c r="E34" s="17" t="s">
        <v>158</v>
      </c>
      <c r="F34" s="18">
        <v>38000</v>
      </c>
      <c r="G34" s="15" t="s">
        <v>356</v>
      </c>
      <c r="H34" s="15" t="s">
        <v>848</v>
      </c>
      <c r="I34" s="16" t="s">
        <v>31</v>
      </c>
    </row>
    <row r="35" spans="1:9" x14ac:dyDescent="0.25">
      <c r="A35" s="14" t="s">
        <v>849</v>
      </c>
      <c r="B35" s="15" t="s">
        <v>850</v>
      </c>
      <c r="C35" s="16" t="s">
        <v>8</v>
      </c>
      <c r="D35" s="15" t="s">
        <v>74</v>
      </c>
      <c r="E35" s="17" t="s">
        <v>851</v>
      </c>
      <c r="F35" s="18">
        <v>36000</v>
      </c>
      <c r="G35" s="15" t="s">
        <v>363</v>
      </c>
      <c r="H35" s="15" t="s">
        <v>852</v>
      </c>
      <c r="I35" s="16" t="s">
        <v>31</v>
      </c>
    </row>
    <row r="36" spans="1:9" x14ac:dyDescent="0.25">
      <c r="A36" s="14" t="s">
        <v>853</v>
      </c>
      <c r="B36" s="15" t="s">
        <v>854</v>
      </c>
      <c r="C36" s="16" t="s">
        <v>46</v>
      </c>
      <c r="D36" s="15" t="s">
        <v>108</v>
      </c>
      <c r="E36" s="17" t="s">
        <v>455</v>
      </c>
      <c r="F36" s="18">
        <v>19000</v>
      </c>
      <c r="G36" s="15" t="s">
        <v>370</v>
      </c>
      <c r="H36" s="15" t="s">
        <v>855</v>
      </c>
      <c r="I36" s="16" t="s">
        <v>31</v>
      </c>
    </row>
    <row r="37" spans="1:9" x14ac:dyDescent="0.25">
      <c r="A37" s="14" t="s">
        <v>856</v>
      </c>
      <c r="B37" s="15" t="s">
        <v>857</v>
      </c>
      <c r="C37" s="16" t="s">
        <v>40</v>
      </c>
      <c r="D37" s="15" t="s">
        <v>113</v>
      </c>
      <c r="E37" s="17" t="s">
        <v>858</v>
      </c>
      <c r="F37" s="18">
        <v>42000</v>
      </c>
      <c r="G37" s="15" t="s">
        <v>377</v>
      </c>
      <c r="H37" s="15" t="s">
        <v>859</v>
      </c>
      <c r="I37" s="16" t="s">
        <v>31</v>
      </c>
    </row>
    <row r="38" spans="1:9" x14ac:dyDescent="0.25">
      <c r="A38" s="14" t="s">
        <v>860</v>
      </c>
      <c r="B38" s="15" t="s">
        <v>861</v>
      </c>
      <c r="C38" s="16" t="s">
        <v>34</v>
      </c>
      <c r="D38" s="15" t="s">
        <v>862</v>
      </c>
      <c r="E38" s="17" t="s">
        <v>863</v>
      </c>
      <c r="F38" s="18">
        <v>23000</v>
      </c>
      <c r="G38" s="15" t="s">
        <v>383</v>
      </c>
      <c r="H38" s="15" t="s">
        <v>864</v>
      </c>
      <c r="I38" s="16" t="s">
        <v>71</v>
      </c>
    </row>
    <row r="39" spans="1:9" x14ac:dyDescent="0.25">
      <c r="A39" s="14" t="s">
        <v>865</v>
      </c>
      <c r="B39" s="15" t="s">
        <v>866</v>
      </c>
      <c r="C39" s="16" t="s">
        <v>62</v>
      </c>
      <c r="D39" s="15" t="s">
        <v>867</v>
      </c>
      <c r="E39" s="17" t="s">
        <v>868</v>
      </c>
      <c r="F39" s="18">
        <v>27000</v>
      </c>
      <c r="G39" s="15" t="s">
        <v>390</v>
      </c>
      <c r="H39" s="15" t="s">
        <v>869</v>
      </c>
      <c r="I39" s="16" t="s">
        <v>31</v>
      </c>
    </row>
    <row r="40" spans="1:9" x14ac:dyDescent="0.25">
      <c r="A40" s="14" t="s">
        <v>870</v>
      </c>
      <c r="B40" s="15" t="s">
        <v>871</v>
      </c>
      <c r="C40" s="16" t="s">
        <v>8</v>
      </c>
      <c r="D40" s="15" t="s">
        <v>872</v>
      </c>
      <c r="E40" s="17" t="s">
        <v>873</v>
      </c>
      <c r="F40" s="18">
        <v>31000</v>
      </c>
      <c r="G40" s="15" t="s">
        <v>397</v>
      </c>
      <c r="H40" s="15" t="s">
        <v>874</v>
      </c>
      <c r="I40" s="16" t="s">
        <v>31</v>
      </c>
    </row>
    <row r="41" spans="1:9" x14ac:dyDescent="0.25">
      <c r="A41" s="14" t="s">
        <v>875</v>
      </c>
      <c r="B41" s="15" t="s">
        <v>876</v>
      </c>
      <c r="C41" s="16" t="s">
        <v>34</v>
      </c>
      <c r="D41" s="15" t="s">
        <v>877</v>
      </c>
      <c r="E41" s="17" t="s">
        <v>878</v>
      </c>
      <c r="F41" s="18">
        <v>34000</v>
      </c>
      <c r="G41" s="15" t="s">
        <v>403</v>
      </c>
      <c r="H41" s="15" t="s">
        <v>313</v>
      </c>
      <c r="I41" s="16" t="s">
        <v>31</v>
      </c>
    </row>
    <row r="42" spans="1:9" x14ac:dyDescent="0.25">
      <c r="A42" s="14" t="s">
        <v>879</v>
      </c>
      <c r="B42" s="15" t="s">
        <v>880</v>
      </c>
      <c r="C42" s="16" t="s">
        <v>46</v>
      </c>
      <c r="D42" s="15" t="s">
        <v>881</v>
      </c>
      <c r="E42" s="17" t="s">
        <v>374</v>
      </c>
      <c r="F42" s="18">
        <v>21000</v>
      </c>
      <c r="G42" s="15" t="s">
        <v>409</v>
      </c>
      <c r="H42" s="15" t="s">
        <v>882</v>
      </c>
      <c r="I42" s="16" t="s">
        <v>31</v>
      </c>
    </row>
    <row r="43" spans="1:9" x14ac:dyDescent="0.25">
      <c r="A43" s="14" t="s">
        <v>883</v>
      </c>
      <c r="B43" s="15" t="s">
        <v>884</v>
      </c>
      <c r="C43" s="16" t="s">
        <v>40</v>
      </c>
      <c r="D43" s="15" t="s">
        <v>885</v>
      </c>
      <c r="E43" s="17" t="s">
        <v>886</v>
      </c>
      <c r="F43" s="18">
        <v>26000</v>
      </c>
      <c r="G43" s="15" t="s">
        <v>416</v>
      </c>
      <c r="H43" s="15" t="s">
        <v>280</v>
      </c>
      <c r="I43" s="16" t="s">
        <v>31</v>
      </c>
    </row>
    <row r="44" spans="1:9" x14ac:dyDescent="0.25">
      <c r="A44" s="14" t="s">
        <v>887</v>
      </c>
      <c r="B44" s="15" t="s">
        <v>107</v>
      </c>
      <c r="C44" s="16" t="s">
        <v>62</v>
      </c>
      <c r="D44" s="15" t="s">
        <v>103</v>
      </c>
      <c r="E44" s="17" t="s">
        <v>888</v>
      </c>
      <c r="F44" s="18">
        <v>20000</v>
      </c>
      <c r="G44" s="15" t="s">
        <v>422</v>
      </c>
      <c r="H44" s="15" t="s">
        <v>889</v>
      </c>
      <c r="I44" s="16" t="s">
        <v>31</v>
      </c>
    </row>
    <row r="45" spans="1:9" x14ac:dyDescent="0.25">
      <c r="A45" s="14" t="s">
        <v>890</v>
      </c>
      <c r="B45" s="15" t="s">
        <v>891</v>
      </c>
      <c r="C45" s="16" t="s">
        <v>8</v>
      </c>
      <c r="D45" s="15" t="s">
        <v>892</v>
      </c>
      <c r="E45" s="17" t="s">
        <v>893</v>
      </c>
      <c r="F45" s="18">
        <v>18000</v>
      </c>
      <c r="G45" s="15" t="s">
        <v>428</v>
      </c>
      <c r="H45" s="15" t="s">
        <v>894</v>
      </c>
      <c r="I45" s="16" t="s">
        <v>31</v>
      </c>
    </row>
    <row r="46" spans="1:9" x14ac:dyDescent="0.25">
      <c r="A46" s="14" t="s">
        <v>895</v>
      </c>
      <c r="B46" s="15" t="s">
        <v>896</v>
      </c>
      <c r="C46" s="16" t="s">
        <v>34</v>
      </c>
      <c r="D46" s="15" t="s">
        <v>897</v>
      </c>
      <c r="E46" s="17" t="s">
        <v>202</v>
      </c>
      <c r="F46" s="18">
        <v>22000</v>
      </c>
      <c r="G46" s="15" t="s">
        <v>434</v>
      </c>
      <c r="H46" s="15" t="s">
        <v>898</v>
      </c>
      <c r="I46" s="16" t="s">
        <v>31</v>
      </c>
    </row>
    <row r="47" spans="1:9" x14ac:dyDescent="0.25">
      <c r="A47" s="14" t="s">
        <v>899</v>
      </c>
      <c r="B47" s="15" t="s">
        <v>900</v>
      </c>
      <c r="C47" s="16" t="s">
        <v>46</v>
      </c>
      <c r="D47" s="15" t="s">
        <v>901</v>
      </c>
      <c r="E47" s="17" t="s">
        <v>367</v>
      </c>
      <c r="F47" s="18">
        <v>28000</v>
      </c>
      <c r="G47" s="15" t="s">
        <v>440</v>
      </c>
      <c r="H47" s="15" t="s">
        <v>902</v>
      </c>
      <c r="I47" s="16" t="s">
        <v>31</v>
      </c>
    </row>
    <row r="48" spans="1:9" x14ac:dyDescent="0.25">
      <c r="A48" s="14" t="s">
        <v>903</v>
      </c>
      <c r="B48" s="15" t="s">
        <v>904</v>
      </c>
      <c r="C48" s="16" t="s">
        <v>40</v>
      </c>
      <c r="D48" s="15" t="s">
        <v>41</v>
      </c>
      <c r="E48" s="17" t="s">
        <v>413</v>
      </c>
      <c r="F48" s="18">
        <v>25000</v>
      </c>
      <c r="G48" s="15" t="s">
        <v>446</v>
      </c>
      <c r="H48" s="15" t="s">
        <v>274</v>
      </c>
      <c r="I48" s="16" t="s">
        <v>71</v>
      </c>
    </row>
    <row r="49" spans="1:9" x14ac:dyDescent="0.25">
      <c r="A49" s="14" t="s">
        <v>905</v>
      </c>
      <c r="B49" s="15" t="s">
        <v>906</v>
      </c>
      <c r="C49" s="16" t="s">
        <v>8</v>
      </c>
      <c r="D49" s="15" t="s">
        <v>907</v>
      </c>
      <c r="E49" s="17" t="s">
        <v>196</v>
      </c>
      <c r="F49" s="18">
        <v>37000</v>
      </c>
      <c r="G49" s="15" t="s">
        <v>452</v>
      </c>
      <c r="H49" s="15" t="s">
        <v>908</v>
      </c>
      <c r="I49" s="16" t="s">
        <v>31</v>
      </c>
    </row>
    <row r="50" spans="1:9" x14ac:dyDescent="0.25">
      <c r="A50" s="14" t="s">
        <v>909</v>
      </c>
      <c r="B50" s="15" t="s">
        <v>910</v>
      </c>
      <c r="C50" s="16" t="s">
        <v>34</v>
      </c>
      <c r="D50" s="15" t="s">
        <v>57</v>
      </c>
      <c r="E50" s="17" t="s">
        <v>249</v>
      </c>
      <c r="F50" s="18">
        <v>45000</v>
      </c>
      <c r="G50" s="15" t="s">
        <v>458</v>
      </c>
      <c r="H50" s="15" t="s">
        <v>911</v>
      </c>
      <c r="I50" s="16" t="s">
        <v>31</v>
      </c>
    </row>
    <row r="51" spans="1:9" x14ac:dyDescent="0.25">
      <c r="A51" s="14" t="s">
        <v>912</v>
      </c>
      <c r="B51" s="15" t="s">
        <v>913</v>
      </c>
      <c r="C51" s="16" t="s">
        <v>62</v>
      </c>
      <c r="D51" s="15" t="s">
        <v>914</v>
      </c>
      <c r="E51" s="17" t="s">
        <v>174</v>
      </c>
      <c r="F51" s="18">
        <v>29000</v>
      </c>
      <c r="G51" s="15" t="s">
        <v>463</v>
      </c>
      <c r="H51" s="15" t="s">
        <v>915</v>
      </c>
      <c r="I51" s="16" t="s">
        <v>31</v>
      </c>
    </row>
    <row r="52" spans="1:9" x14ac:dyDescent="0.25">
      <c r="A52" s="14" t="s">
        <v>916</v>
      </c>
      <c r="B52" s="15" t="s">
        <v>917</v>
      </c>
      <c r="C52" s="16" t="s">
        <v>46</v>
      </c>
      <c r="D52" s="15" t="s">
        <v>918</v>
      </c>
      <c r="E52" s="17" t="s">
        <v>176</v>
      </c>
      <c r="F52" s="18">
        <v>40000</v>
      </c>
      <c r="G52" s="15" t="s">
        <v>469</v>
      </c>
      <c r="H52" s="15" t="s">
        <v>285</v>
      </c>
      <c r="I52" s="16" t="s">
        <v>31</v>
      </c>
    </row>
    <row r="53" spans="1:9" x14ac:dyDescent="0.25">
      <c r="A53" s="20"/>
      <c r="B53" s="21"/>
      <c r="C53" s="21"/>
      <c r="D53" s="21"/>
      <c r="E53" s="22"/>
      <c r="F53" s="23"/>
      <c r="G53" s="21"/>
      <c r="H53" s="21"/>
      <c r="I53" s="21"/>
    </row>
    <row r="54" spans="1:9" x14ac:dyDescent="0.25">
      <c r="A54" s="20"/>
      <c r="B54" s="21"/>
      <c r="C54" s="21"/>
      <c r="D54" s="21"/>
      <c r="E54" s="22"/>
      <c r="F54" s="23"/>
      <c r="G54" s="21"/>
      <c r="H54" s="21"/>
      <c r="I54" s="21"/>
    </row>
    <row r="55" spans="1:9" x14ac:dyDescent="0.25">
      <c r="A55" s="20"/>
      <c r="B55" s="21"/>
      <c r="C55" s="21"/>
      <c r="D55" s="21"/>
      <c r="E55" s="22"/>
      <c r="F55" s="23"/>
      <c r="G55" s="21"/>
      <c r="H55" s="21"/>
      <c r="I55" s="21"/>
    </row>
    <row r="56" spans="1:9" x14ac:dyDescent="0.25">
      <c r="A56" s="20"/>
      <c r="B56" s="21"/>
      <c r="C56" s="21"/>
      <c r="D56" s="21"/>
      <c r="E56" s="22"/>
      <c r="F56" s="23"/>
      <c r="G56" s="21"/>
      <c r="H56" s="21"/>
      <c r="I56" s="21"/>
    </row>
    <row r="57" spans="1:9" x14ac:dyDescent="0.25">
      <c r="A57" s="20"/>
      <c r="B57" s="21"/>
      <c r="C57" s="21"/>
      <c r="D57" s="21"/>
      <c r="E57" s="22"/>
      <c r="F57" s="23"/>
      <c r="G57" s="21"/>
      <c r="H57" s="21"/>
      <c r="I57" s="21"/>
    </row>
    <row r="58" spans="1:9" x14ac:dyDescent="0.25">
      <c r="A58" s="20"/>
      <c r="B58" s="21"/>
      <c r="C58" s="21"/>
      <c r="D58" s="21"/>
      <c r="E58" s="22"/>
      <c r="F58" s="23"/>
      <c r="G58" s="21"/>
      <c r="H58" s="21"/>
      <c r="I58" s="21"/>
    </row>
    <row r="59" spans="1:9" x14ac:dyDescent="0.25">
      <c r="A59" s="20"/>
      <c r="B59" s="21"/>
      <c r="C59" s="21"/>
      <c r="D59" s="21"/>
      <c r="E59" s="22"/>
      <c r="F59" s="23"/>
      <c r="G59" s="21"/>
      <c r="H59" s="21"/>
      <c r="I59" s="21"/>
    </row>
    <row r="60" spans="1:9" x14ac:dyDescent="0.25">
      <c r="A60" s="20"/>
      <c r="B60" s="21"/>
      <c r="C60" s="21"/>
      <c r="D60" s="21"/>
      <c r="E60" s="22"/>
      <c r="F60" s="23"/>
      <c r="G60" s="21"/>
      <c r="H60" s="21"/>
      <c r="I60" s="21"/>
    </row>
    <row r="61" spans="1:9" x14ac:dyDescent="0.25">
      <c r="A61" s="20"/>
      <c r="B61" s="21"/>
      <c r="C61" s="21"/>
      <c r="D61" s="21"/>
      <c r="E61" s="22"/>
      <c r="F61" s="23"/>
      <c r="G61" s="21"/>
      <c r="H61" s="21"/>
      <c r="I61" s="21"/>
    </row>
    <row r="62" spans="1:9" x14ac:dyDescent="0.25">
      <c r="A62" s="20"/>
      <c r="B62" s="21"/>
      <c r="C62" s="21"/>
      <c r="D62" s="21"/>
      <c r="E62" s="22"/>
      <c r="F62" s="23"/>
      <c r="G62" s="21"/>
      <c r="H62" s="21"/>
      <c r="I62" s="21"/>
    </row>
    <row r="63" spans="1:9" x14ac:dyDescent="0.25">
      <c r="A63" s="20"/>
      <c r="B63" s="21"/>
      <c r="C63" s="21"/>
      <c r="D63" s="21"/>
      <c r="E63" s="22"/>
      <c r="F63" s="23"/>
      <c r="G63" s="21"/>
      <c r="H63" s="21"/>
      <c r="I63" s="21"/>
    </row>
    <row r="64" spans="1:9" x14ac:dyDescent="0.25">
      <c r="A64" s="20"/>
      <c r="B64" s="21"/>
      <c r="C64" s="21"/>
      <c r="D64" s="21"/>
      <c r="E64" s="22"/>
      <c r="F64" s="23"/>
      <c r="G64" s="21"/>
      <c r="H64" s="21"/>
      <c r="I64" s="21"/>
    </row>
    <row r="65" spans="1:9" x14ac:dyDescent="0.25">
      <c r="A65" s="20"/>
      <c r="B65" s="21"/>
      <c r="C65" s="21"/>
      <c r="D65" s="21"/>
      <c r="E65" s="22"/>
      <c r="F65" s="23"/>
      <c r="G65" s="21"/>
      <c r="H65" s="21"/>
      <c r="I65" s="21"/>
    </row>
    <row r="66" spans="1:9" x14ac:dyDescent="0.25">
      <c r="A66" s="20"/>
      <c r="B66" s="21"/>
      <c r="C66" s="21"/>
      <c r="D66" s="21"/>
      <c r="E66" s="22"/>
      <c r="F66" s="23"/>
      <c r="G66" s="21"/>
      <c r="H66" s="21"/>
      <c r="I66" s="21"/>
    </row>
    <row r="67" spans="1:9" x14ac:dyDescent="0.25">
      <c r="A67" s="20"/>
      <c r="B67" s="21"/>
      <c r="C67" s="21"/>
      <c r="D67" s="21"/>
      <c r="E67" s="22"/>
      <c r="F67" s="23"/>
      <c r="G67" s="21"/>
      <c r="H67" s="21"/>
      <c r="I67" s="21"/>
    </row>
    <row r="68" spans="1:9" x14ac:dyDescent="0.25">
      <c r="A68" s="20"/>
      <c r="B68" s="21"/>
      <c r="C68" s="21"/>
      <c r="D68" s="21"/>
      <c r="E68" s="22"/>
      <c r="F68" s="23"/>
      <c r="G68" s="21"/>
      <c r="H68" s="21"/>
      <c r="I68" s="21"/>
    </row>
    <row r="69" spans="1:9" x14ac:dyDescent="0.25">
      <c r="A69" s="20"/>
      <c r="B69" s="21"/>
      <c r="C69" s="21"/>
      <c r="D69" s="21"/>
      <c r="E69" s="22"/>
      <c r="F69" s="23"/>
      <c r="G69" s="21"/>
      <c r="H69" s="21"/>
      <c r="I69" s="21"/>
    </row>
    <row r="70" spans="1:9" x14ac:dyDescent="0.25">
      <c r="A70" s="20"/>
      <c r="B70" s="21"/>
      <c r="C70" s="21"/>
      <c r="D70" s="21"/>
      <c r="E70" s="22"/>
      <c r="F70" s="23"/>
      <c r="G70" s="21"/>
      <c r="H70" s="21"/>
      <c r="I70" s="21"/>
    </row>
    <row r="71" spans="1:9" x14ac:dyDescent="0.25">
      <c r="A71" s="20"/>
      <c r="B71" s="21"/>
      <c r="C71" s="21"/>
      <c r="D71" s="21"/>
      <c r="E71" s="22"/>
      <c r="F71" s="23"/>
      <c r="G71" s="21"/>
      <c r="H71" s="21"/>
      <c r="I71" s="21"/>
    </row>
    <row r="72" spans="1:9" x14ac:dyDescent="0.25">
      <c r="A72" s="20"/>
      <c r="B72" s="21"/>
      <c r="C72" s="21"/>
      <c r="D72" s="21"/>
      <c r="E72" s="22"/>
      <c r="F72" s="23"/>
      <c r="G72" s="21"/>
      <c r="H72" s="21"/>
      <c r="I72" s="21"/>
    </row>
    <row r="73" spans="1:9" x14ac:dyDescent="0.25">
      <c r="A73" s="20"/>
      <c r="B73" s="21"/>
      <c r="C73" s="21"/>
      <c r="D73" s="21"/>
      <c r="E73" s="22"/>
      <c r="F73" s="23"/>
      <c r="G73" s="21"/>
      <c r="H73" s="21"/>
      <c r="I73" s="21"/>
    </row>
    <row r="74" spans="1:9" x14ac:dyDescent="0.25">
      <c r="A74" s="20"/>
      <c r="B74" s="21"/>
      <c r="C74" s="21"/>
      <c r="D74" s="21"/>
      <c r="E74" s="22"/>
      <c r="F74" s="23"/>
      <c r="G74" s="21"/>
      <c r="H74" s="21"/>
      <c r="I74" s="21"/>
    </row>
    <row r="75" spans="1:9" x14ac:dyDescent="0.25">
      <c r="A75" s="20"/>
      <c r="B75" s="21"/>
      <c r="C75" s="21"/>
      <c r="D75" s="21"/>
      <c r="E75" s="22"/>
      <c r="F75" s="23"/>
      <c r="G75" s="21"/>
      <c r="H75" s="21"/>
      <c r="I75" s="21"/>
    </row>
    <row r="76" spans="1:9" x14ac:dyDescent="0.25">
      <c r="A76" s="20"/>
      <c r="B76" s="21"/>
      <c r="C76" s="21"/>
      <c r="D76" s="21"/>
      <c r="E76" s="22"/>
      <c r="F76" s="23"/>
      <c r="G76" s="21"/>
      <c r="H76" s="21"/>
      <c r="I76" s="21"/>
    </row>
    <row r="77" spans="1:9" x14ac:dyDescent="0.25">
      <c r="A77" s="20"/>
      <c r="B77" s="21"/>
      <c r="C77" s="21"/>
      <c r="D77" s="21"/>
      <c r="E77" s="22"/>
      <c r="F77" s="23"/>
      <c r="G77" s="21"/>
      <c r="H77" s="21"/>
      <c r="I77" s="21"/>
    </row>
    <row r="78" spans="1:9" x14ac:dyDescent="0.25">
      <c r="A78" s="20"/>
      <c r="B78" s="21"/>
      <c r="C78" s="21"/>
      <c r="D78" s="21"/>
      <c r="E78" s="22"/>
      <c r="F78" s="23"/>
      <c r="G78" s="21"/>
      <c r="H78" s="21"/>
      <c r="I78" s="21"/>
    </row>
    <row r="79" spans="1:9" x14ac:dyDescent="0.25">
      <c r="A79" s="20"/>
      <c r="B79" s="21"/>
      <c r="C79" s="21"/>
      <c r="D79" s="21"/>
      <c r="E79" s="22"/>
      <c r="F79" s="23"/>
      <c r="G79" s="21"/>
      <c r="H79" s="21"/>
      <c r="I79" s="21"/>
    </row>
    <row r="80" spans="1:9" x14ac:dyDescent="0.25">
      <c r="A80" s="20"/>
      <c r="B80" s="21"/>
      <c r="C80" s="21"/>
      <c r="D80" s="21"/>
      <c r="E80" s="22"/>
      <c r="F80" s="23"/>
      <c r="G80" s="21"/>
      <c r="H80" s="21"/>
      <c r="I80" s="21"/>
    </row>
  </sheetData>
  <sheetProtection sheet="1" scenarios="1" formatColumns="0" sort="0" autoFilter="0"/>
  <mergeCells count="8">
    <mergeCell ref="K17:L17"/>
    <mergeCell ref="K20:L20"/>
    <mergeCell ref="K28:L28"/>
    <mergeCell ref="A1:I1"/>
    <mergeCell ref="K1:L1"/>
    <mergeCell ref="K13:L13"/>
    <mergeCell ref="K14:L14"/>
    <mergeCell ref="K16:L16"/>
  </mergeCells>
  <dataValidations count="2">
    <dataValidation type="list" allowBlank="1" showInputMessage="1" showErrorMessage="1" sqref="L4" xr:uid="{ADA9C20F-F47C-4755-952E-8C364BCE5DE4}">
      <formula1>$N$1:$N$5</formula1>
    </dataValidation>
    <dataValidation type="list" allowBlank="1" showInputMessage="1" showErrorMessage="1" sqref="L10" xr:uid="{87813361-CC76-4518-BFCD-B7D32CFC91B8}">
      <formula1>$N$7:$N$8</formula1>
    </dataValidation>
  </dataValidations>
  <hyperlinks>
    <hyperlink ref="H28" r:id="rId1" xr:uid="{A108D95B-BD01-42F5-9358-9FCC3BBD96F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oHome">
                <anchor moveWithCells="1" sizeWithCells="1">
                  <from>
                    <xdr:col>0</xdr:col>
                    <xdr:colOff>180975</xdr:colOff>
                    <xdr:row>0</xdr:row>
                    <xdr:rowOff>28575</xdr:rowOff>
                  </from>
                  <to>
                    <xdr:col>0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ddEmployee">
                <anchor moveWithCells="1" sizeWithCells="1">
                  <from>
                    <xdr:col>9</xdr:col>
                    <xdr:colOff>600075</xdr:colOff>
                    <xdr:row>11</xdr:row>
                    <xdr:rowOff>190500</xdr:rowOff>
                  </from>
                  <to>
                    <xdr:col>12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rEmployeeForm">
                <anchor moveWithCells="1" sizeWithCells="1">
                  <from>
                    <xdr:col>9</xdr:col>
                    <xdr:colOff>600075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SearchEmployee">
                <anchor moveWithCells="1" sizeWithCells="1">
                  <from>
                    <xdr:col>9</xdr:col>
                    <xdr:colOff>590550</xdr:colOff>
                    <xdr:row>26</xdr:row>
                    <xdr:rowOff>171450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UpdateEmployee">
                <anchor moveWithCells="1" sizeWithCells="1">
                  <from>
                    <xdr:col>9</xdr:col>
                    <xdr:colOff>600075</xdr:colOff>
                    <xdr:row>14</xdr:row>
                    <xdr:rowOff>19050</xdr:rowOff>
                  </from>
                  <to>
                    <xdr:col>10</xdr:col>
                    <xdr:colOff>1628775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 macro="[0]!DeleteEmployee">
                <anchor moveWithCells="1" sizeWithCells="1">
                  <from>
                    <xdr:col>10</xdr:col>
                    <xdr:colOff>0</xdr:colOff>
                    <xdr:row>15</xdr:row>
                    <xdr:rowOff>104775</xdr:rowOff>
                  </from>
                  <to>
                    <xdr:col>10</xdr:col>
                    <xdr:colOff>1638300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4EF3-0550-43EB-9B15-7D8837CA2635}">
  <sheetPr codeName="Sheet3">
    <tabColor rgb="FF1B365D"/>
  </sheetPr>
  <dimension ref="A1:N80"/>
  <sheetViews>
    <sheetView showGridLines="0" topLeftCell="A6" workbookViewId="0">
      <selection activeCell="J10" sqref="J10"/>
    </sheetView>
  </sheetViews>
  <sheetFormatPr defaultRowHeight="15" x14ac:dyDescent="0.25"/>
  <cols>
    <col min="1" max="1" width="22.85546875" customWidth="1"/>
    <col min="2" max="2" width="26.7109375" customWidth="1"/>
    <col min="3" max="3" width="21" customWidth="1"/>
    <col min="4" max="4" width="32.42578125" customWidth="1"/>
    <col min="5" max="5" width="38.140625" customWidth="1"/>
    <col min="6" max="8" width="24.7109375" customWidth="1"/>
    <col min="9" max="9" width="17.140625" customWidth="1"/>
    <col min="11" max="11" width="26.7109375" customWidth="1"/>
    <col min="12" max="12" width="30.42578125" customWidth="1"/>
  </cols>
  <sheetData>
    <row r="1" spans="1:14" ht="27.95" customHeight="1" thickBot="1" x14ac:dyDescent="0.4">
      <c r="A1" s="135" t="s">
        <v>179</v>
      </c>
      <c r="B1" s="136"/>
      <c r="C1" s="136"/>
      <c r="D1" s="136"/>
      <c r="E1" s="136"/>
      <c r="F1" s="136"/>
      <c r="G1" s="136"/>
      <c r="H1" s="136"/>
      <c r="I1" s="136"/>
    </row>
    <row r="2" spans="1:14" ht="21.95" customHeight="1" x14ac:dyDescent="0.25">
      <c r="A2" s="6" t="s">
        <v>180</v>
      </c>
      <c r="B2" s="6" t="s">
        <v>181</v>
      </c>
      <c r="C2" s="6" t="s">
        <v>23</v>
      </c>
      <c r="D2" s="6" t="s">
        <v>24</v>
      </c>
      <c r="E2" s="6" t="s">
        <v>182</v>
      </c>
      <c r="F2" s="6" t="s">
        <v>183</v>
      </c>
      <c r="G2" s="6" t="s">
        <v>184</v>
      </c>
      <c r="H2" s="6" t="s">
        <v>185</v>
      </c>
      <c r="I2" s="6" t="s">
        <v>25</v>
      </c>
      <c r="K2" s="131" t="s">
        <v>809</v>
      </c>
      <c r="L2" s="137"/>
    </row>
    <row r="3" spans="1:14" x14ac:dyDescent="0.25">
      <c r="A3" s="36" t="s">
        <v>186</v>
      </c>
      <c r="B3" s="37" t="s">
        <v>187</v>
      </c>
      <c r="C3" s="37" t="s">
        <v>29</v>
      </c>
      <c r="D3" s="37" t="s">
        <v>188</v>
      </c>
      <c r="E3" s="37" t="s">
        <v>189</v>
      </c>
      <c r="F3" s="38" t="s">
        <v>190</v>
      </c>
      <c r="G3" s="31">
        <f>IF(A3="","",SUMIF(SALES!C:C,A3,SALES!I:I))</f>
        <v>46500</v>
      </c>
      <c r="H3" s="30" cm="1">
        <f t="array" ref="H3">IF(A3="","",IFERROR(1/(1/MAX(IFERROR(DATEVALUE(LEFT(IF(SALES!$C$3:$C$200=A3,SALES!$B$3:$B$200,""),10)),0))),""))</f>
        <v>46289</v>
      </c>
      <c r="I3" s="39" t="s">
        <v>71</v>
      </c>
      <c r="K3" s="9" t="s">
        <v>181</v>
      </c>
      <c r="L3" s="24"/>
    </row>
    <row r="4" spans="1:14" x14ac:dyDescent="0.25">
      <c r="A4" s="36" t="s">
        <v>191</v>
      </c>
      <c r="B4" s="37" t="s">
        <v>192</v>
      </c>
      <c r="C4" s="37" t="s">
        <v>36</v>
      </c>
      <c r="D4" s="37" t="s">
        <v>193</v>
      </c>
      <c r="E4" s="37" t="s">
        <v>194</v>
      </c>
      <c r="F4" s="38" t="s">
        <v>195</v>
      </c>
      <c r="G4" s="31">
        <f>IF(A4="","",SUMIF(SALES!C:C,A4,SALES!I:I))</f>
        <v>12600</v>
      </c>
      <c r="H4" s="30" cm="1">
        <f t="array" ref="H4">IF(A4="","",IFERROR(1/(1/MAX(IFERROR(DATEVALUE(LEFT(IF(SALES!$C$3:$C$200=A4,SALES!$B$3:$B$200,""),10)),0))),""))</f>
        <v>46289</v>
      </c>
      <c r="I4" s="39" t="s">
        <v>31</v>
      </c>
      <c r="K4" s="9" t="s">
        <v>23</v>
      </c>
      <c r="L4" s="24"/>
    </row>
    <row r="5" spans="1:14" x14ac:dyDescent="0.25">
      <c r="A5" s="36" t="s">
        <v>197</v>
      </c>
      <c r="B5" s="37" t="s">
        <v>198</v>
      </c>
      <c r="C5" s="37" t="s">
        <v>42</v>
      </c>
      <c r="D5" s="37" t="s">
        <v>199</v>
      </c>
      <c r="E5" s="37" t="s">
        <v>200</v>
      </c>
      <c r="F5" s="38" t="s">
        <v>201</v>
      </c>
      <c r="G5" s="31">
        <f>IF(A5="","",SUMIF(SALES!C:C,A5,SALES!I:I))</f>
        <v>2600</v>
      </c>
      <c r="H5" s="30" cm="1">
        <f t="array" ref="H5">IF(A5="","",IFERROR(1/(1/MAX(IFERROR(DATEVALUE(LEFT(IF(SALES!$C$3:$C$200=A5,SALES!$B$3:$B$200,""),10)),0))),""))</f>
        <v>46287</v>
      </c>
      <c r="I5" s="39" t="s">
        <v>31</v>
      </c>
      <c r="K5" s="9" t="s">
        <v>24</v>
      </c>
      <c r="L5" s="27"/>
    </row>
    <row r="6" spans="1:14" x14ac:dyDescent="0.25">
      <c r="A6" s="36" t="s">
        <v>203</v>
      </c>
      <c r="B6" s="37" t="s">
        <v>204</v>
      </c>
      <c r="C6" s="37" t="s">
        <v>48</v>
      </c>
      <c r="D6" s="37" t="s">
        <v>205</v>
      </c>
      <c r="E6" s="37" t="s">
        <v>206</v>
      </c>
      <c r="F6" s="38" t="s">
        <v>207</v>
      </c>
      <c r="G6" s="31">
        <f>IF(A6="","",SUMIF(SALES!C:C,A6,SALES!I:I))</f>
        <v>15500</v>
      </c>
      <c r="H6" s="30" cm="1">
        <f t="array" ref="H6">IF(A6="","",IFERROR(1/(1/MAX(IFERROR(DATEVALUE(LEFT(IF(SALES!$C$3:$C$200=A6,SALES!$B$3:$B$200,""),10)),0))),""))</f>
        <v>46287</v>
      </c>
      <c r="I6" s="39" t="s">
        <v>31</v>
      </c>
      <c r="K6" s="9" t="s">
        <v>182</v>
      </c>
      <c r="L6" s="24"/>
    </row>
    <row r="7" spans="1:14" x14ac:dyDescent="0.25">
      <c r="A7" s="36" t="s">
        <v>208</v>
      </c>
      <c r="B7" s="37" t="s">
        <v>209</v>
      </c>
      <c r="C7" s="37" t="s">
        <v>53</v>
      </c>
      <c r="D7" s="37" t="s">
        <v>210</v>
      </c>
      <c r="E7" s="37" t="s">
        <v>211</v>
      </c>
      <c r="F7" s="38" t="s">
        <v>212</v>
      </c>
      <c r="G7" s="31">
        <f>IF(A7="","",SUMIF(SALES!C:C,A7,SALES!I:I))</f>
        <v>1120</v>
      </c>
      <c r="H7" s="30" cm="1">
        <f t="array" ref="H7">IF(A7="","",IFERROR(1/(1/MAX(IFERROR(DATEVALUE(LEFT(IF(SALES!$C$3:$C$200=A7,SALES!$B$3:$B$200,""),10)),0))),""))</f>
        <v>46286</v>
      </c>
      <c r="I7" s="39" t="s">
        <v>71</v>
      </c>
      <c r="K7" s="9" t="s">
        <v>183</v>
      </c>
      <c r="L7" s="25"/>
      <c r="N7" s="1" t="s">
        <v>31</v>
      </c>
    </row>
    <row r="8" spans="1:14" x14ac:dyDescent="0.25">
      <c r="A8" s="36" t="s">
        <v>213</v>
      </c>
      <c r="B8" s="37" t="s">
        <v>214</v>
      </c>
      <c r="C8" s="37" t="s">
        <v>58</v>
      </c>
      <c r="D8" s="37" t="s">
        <v>215</v>
      </c>
      <c r="E8" s="37" t="s">
        <v>216</v>
      </c>
      <c r="F8" s="38" t="s">
        <v>217</v>
      </c>
      <c r="G8" s="31">
        <f>IF(A8="","",SUMIF(SALES!C:C,A8,SALES!I:I))</f>
        <v>3998</v>
      </c>
      <c r="H8" s="30" cm="1">
        <f t="array" ref="H8">IF(A8="","",IFERROR(1/(1/MAX(IFERROR(DATEVALUE(LEFT(IF(SALES!$C$3:$C$200=A8,SALES!$B$3:$B$200,""),10)),0))),""))</f>
        <v>46286</v>
      </c>
      <c r="I8" s="39" t="s">
        <v>31</v>
      </c>
      <c r="K8" s="9" t="s">
        <v>25</v>
      </c>
      <c r="L8" s="28" t="s">
        <v>31</v>
      </c>
      <c r="N8" s="1" t="s">
        <v>71</v>
      </c>
    </row>
    <row r="9" spans="1:14" x14ac:dyDescent="0.25">
      <c r="A9" s="36" t="s">
        <v>218</v>
      </c>
      <c r="B9" s="37" t="s">
        <v>219</v>
      </c>
      <c r="C9" s="37" t="s">
        <v>64</v>
      </c>
      <c r="D9" s="37" t="s">
        <v>220</v>
      </c>
      <c r="E9" s="37" t="s">
        <v>221</v>
      </c>
      <c r="F9" s="38" t="s">
        <v>222</v>
      </c>
      <c r="G9" s="31">
        <f>IF(A9="","",SUMIF(SALES!C:C,A9,SALES!I:I))</f>
        <v>2750</v>
      </c>
      <c r="H9" s="30" cm="1">
        <f t="array" ref="H9">IF(A9="","",IFERROR(1/(1/MAX(IFERROR(DATEVALUE(LEFT(IF(SALES!$C$3:$C$200=A9,SALES!$B$3:$B$200,""),10)),0))),""))</f>
        <v>46285</v>
      </c>
      <c r="I9" s="39" t="s">
        <v>31</v>
      </c>
      <c r="K9" s="7"/>
      <c r="L9" s="29"/>
    </row>
    <row r="10" spans="1:14" x14ac:dyDescent="0.25">
      <c r="A10" s="36" t="s">
        <v>223</v>
      </c>
      <c r="B10" s="37" t="s">
        <v>224</v>
      </c>
      <c r="C10" s="37" t="s">
        <v>69</v>
      </c>
      <c r="D10" s="37" t="s">
        <v>225</v>
      </c>
      <c r="E10" s="37" t="s">
        <v>226</v>
      </c>
      <c r="F10" s="38" t="s">
        <v>227</v>
      </c>
      <c r="G10" s="31">
        <f>IF(A10="","",SUMIF(SALES!C:C,A10,SALES!I:I))</f>
        <v>2999</v>
      </c>
      <c r="H10" s="30" cm="1">
        <f t="array" ref="H10">IF(A10="","",IFERROR(1/(1/MAX(IFERROR(DATEVALUE(LEFT(IF(SALES!$C$3:$C$200=A10,SALES!$B$3:$B$200,""),10)),0))),""))</f>
        <v>46285</v>
      </c>
      <c r="I10" s="39" t="s">
        <v>31</v>
      </c>
      <c r="K10" s="9" t="s">
        <v>180</v>
      </c>
      <c r="L10" s="40" t="s">
        <v>811</v>
      </c>
    </row>
    <row r="11" spans="1:14" ht="15.75" thickBot="1" x14ac:dyDescent="0.3">
      <c r="A11" s="36" t="s">
        <v>229</v>
      </c>
      <c r="B11" s="37" t="s">
        <v>230</v>
      </c>
      <c r="C11" s="37" t="s">
        <v>75</v>
      </c>
      <c r="D11" s="37" t="s">
        <v>231</v>
      </c>
      <c r="E11" s="37" t="s">
        <v>232</v>
      </c>
      <c r="F11" s="38" t="s">
        <v>233</v>
      </c>
      <c r="G11" s="31">
        <f>IF(A11="","",SUMIF(SALES!C:C,A11,SALES!I:I))</f>
        <v>2398</v>
      </c>
      <c r="H11" s="30" cm="1">
        <f t="array" ref="H11">IF(A11="","",IFERROR(1/(1/MAX(IFERROR(DATEVALUE(LEFT(IF(SALES!$C$3:$C$200=A11,SALES!$B$3:$B$200,""),10)),0))),""))</f>
        <v>46284</v>
      </c>
      <c r="I11" s="39" t="s">
        <v>71</v>
      </c>
      <c r="K11" s="7"/>
      <c r="L11" s="8"/>
    </row>
    <row r="12" spans="1:14" ht="15.75" thickBot="1" x14ac:dyDescent="0.3">
      <c r="A12" s="36" t="s">
        <v>234</v>
      </c>
      <c r="B12" s="37" t="s">
        <v>235</v>
      </c>
      <c r="C12" s="37" t="s">
        <v>79</v>
      </c>
      <c r="D12" s="37" t="s">
        <v>236</v>
      </c>
      <c r="E12" s="37" t="s">
        <v>237</v>
      </c>
      <c r="F12" s="38" t="s">
        <v>238</v>
      </c>
      <c r="G12" s="31">
        <f>IF(A12="","",SUMIF(SALES!C:C,A12,SALES!I:I))</f>
        <v>4299</v>
      </c>
      <c r="H12" s="30" cm="1">
        <f t="array" ref="H12">IF(A12="","",IFERROR(1/(1/MAX(IFERROR(DATEVALUE(LEFT(IF(SALES!$C$3:$C$200=A12,SALES!$B$3:$B$200,""),10)),0))),""))</f>
        <v>46284</v>
      </c>
      <c r="I12" s="39" t="s">
        <v>31</v>
      </c>
      <c r="K12" s="138" t="s">
        <v>810</v>
      </c>
      <c r="L12" s="139"/>
    </row>
    <row r="13" spans="1:14" ht="15.75" thickBot="1" x14ac:dyDescent="0.3">
      <c r="A13" s="36" t="s">
        <v>239</v>
      </c>
      <c r="B13" s="37" t="s">
        <v>240</v>
      </c>
      <c r="C13" s="37" t="s">
        <v>84</v>
      </c>
      <c r="D13" s="37" t="s">
        <v>241</v>
      </c>
      <c r="E13" s="37" t="s">
        <v>242</v>
      </c>
      <c r="F13" s="38" t="s">
        <v>243</v>
      </c>
      <c r="G13" s="31">
        <f>IF(A13="","",SUMIF(SALES!C:C,A13,SALES!I:I))</f>
        <v>2598</v>
      </c>
      <c r="H13" s="30" cm="1">
        <f t="array" ref="H13">IF(A13="","",IFERROR(1/(1/MAX(IFERROR(DATEVALUE(LEFT(IF(SALES!$C$3:$C$200=A13,SALES!$B$3:$B$200,""),10)),0))),""))</f>
        <v>46283</v>
      </c>
      <c r="I13" s="39" t="s">
        <v>31</v>
      </c>
      <c r="K13" s="140" t="s">
        <v>798</v>
      </c>
      <c r="L13" s="141"/>
    </row>
    <row r="14" spans="1:14" ht="15.75" thickBot="1" x14ac:dyDescent="0.3">
      <c r="A14" s="36" t="s">
        <v>244</v>
      </c>
      <c r="B14" s="37" t="s">
        <v>245</v>
      </c>
      <c r="C14" s="37" t="s">
        <v>89</v>
      </c>
      <c r="D14" s="37" t="s">
        <v>246</v>
      </c>
      <c r="E14" s="37" t="s">
        <v>247</v>
      </c>
      <c r="F14" s="38" t="s">
        <v>248</v>
      </c>
      <c r="G14" s="31">
        <f>IF(A14="","",SUMIF(SALES!C:C,A14,SALES!I:I))</f>
        <v>17997</v>
      </c>
      <c r="H14" s="30" cm="1">
        <f t="array" ref="H14">IF(A14="","",IFERROR(1/(1/MAX(IFERROR(DATEVALUE(LEFT(IF(SALES!$C$3:$C$200=A14,SALES!$B$3:$B$200,""),10)),0))),""))</f>
        <v>46283</v>
      </c>
      <c r="I14" s="39" t="s">
        <v>31</v>
      </c>
    </row>
    <row r="15" spans="1:14" ht="18.75" x14ac:dyDescent="0.25">
      <c r="A15" s="36" t="s">
        <v>250</v>
      </c>
      <c r="B15" s="37" t="s">
        <v>251</v>
      </c>
      <c r="C15" s="37" t="s">
        <v>94</v>
      </c>
      <c r="D15" s="37" t="s">
        <v>252</v>
      </c>
      <c r="E15" s="37" t="s">
        <v>253</v>
      </c>
      <c r="F15" s="38" t="s">
        <v>254</v>
      </c>
      <c r="G15" s="31">
        <f>IF(A15="","",SUMIF(SALES!C:C,A15,SALES!I:I))</f>
        <v>33500</v>
      </c>
      <c r="H15" s="30" cm="1">
        <f t="array" ref="H15">IF(A15="","",IFERROR(1/(1/MAX(IFERROR(DATEVALUE(LEFT(IF(SALES!$C$3:$C$200=A15,SALES!$B$3:$B$200,""),10)),0))),""))</f>
        <v>46282</v>
      </c>
      <c r="I15" s="39" t="s">
        <v>31</v>
      </c>
      <c r="K15" s="131" t="s">
        <v>812</v>
      </c>
      <c r="L15" s="137"/>
    </row>
    <row r="16" spans="1:14" x14ac:dyDescent="0.25">
      <c r="A16" s="36" t="s">
        <v>255</v>
      </c>
      <c r="B16" s="37" t="s">
        <v>256</v>
      </c>
      <c r="C16" s="37" t="s">
        <v>99</v>
      </c>
      <c r="D16" s="37" t="s">
        <v>257</v>
      </c>
      <c r="E16" s="37" t="s">
        <v>258</v>
      </c>
      <c r="F16" s="38" t="s">
        <v>259</v>
      </c>
      <c r="G16" s="31">
        <f>IF(A16="","",SUMIF(SALES!C:C,A16,SALES!I:I))</f>
        <v>3200</v>
      </c>
      <c r="H16" s="30" cm="1">
        <f t="array" ref="H16">IF(A16="","",IFERROR(1/(1/MAX(IFERROR(DATEVALUE(LEFT(IF(SALES!$C$3:$C$200=A16,SALES!$B$3:$B$200,""),10)),0))),""))</f>
        <v>46282</v>
      </c>
      <c r="I16" s="39" t="s">
        <v>31</v>
      </c>
      <c r="K16" s="9" t="s">
        <v>180</v>
      </c>
      <c r="L16" s="28" t="s">
        <v>186</v>
      </c>
    </row>
    <row r="17" spans="1:12" x14ac:dyDescent="0.25">
      <c r="A17" s="36" t="s">
        <v>261</v>
      </c>
      <c r="B17" s="37" t="s">
        <v>262</v>
      </c>
      <c r="C17" s="37" t="s">
        <v>104</v>
      </c>
      <c r="D17" s="37" t="s">
        <v>263</v>
      </c>
      <c r="E17" s="37" t="s">
        <v>264</v>
      </c>
      <c r="F17" s="38" t="s">
        <v>265</v>
      </c>
      <c r="G17" s="31">
        <f>IF(A17="","",SUMIF(SALES!C:C,A17,SALES!I:I))</f>
        <v>5997</v>
      </c>
      <c r="H17" s="30" cm="1">
        <f t="array" ref="H17">IF(A17="","",IFERROR(1/(1/MAX(IFERROR(DATEVALUE(LEFT(IF(SALES!$C$3:$C$200=A17,SALES!$B$3:$B$200,""),10)),0))),""))</f>
        <v>46281</v>
      </c>
      <c r="I17" s="39" t="s">
        <v>31</v>
      </c>
      <c r="K17" s="9" t="s">
        <v>181</v>
      </c>
      <c r="L17" s="12" t="str">
        <f>IF($L$16="","",IFERROR(_xlfn.XLOOKUP($L$16,CustomerMaster[Customer ID],CustomerMaster[Customer Name]),"Not found"))</f>
        <v>Rajesh Khanna</v>
      </c>
    </row>
    <row r="18" spans="1:12" x14ac:dyDescent="0.25">
      <c r="A18" s="36" t="s">
        <v>267</v>
      </c>
      <c r="B18" s="37" t="s">
        <v>268</v>
      </c>
      <c r="C18" s="37" t="s">
        <v>109</v>
      </c>
      <c r="D18" s="37" t="s">
        <v>269</v>
      </c>
      <c r="E18" s="37" t="s">
        <v>270</v>
      </c>
      <c r="F18" s="38" t="s">
        <v>271</v>
      </c>
      <c r="G18" s="31">
        <f>IF(A18="","",SUMIF(SALES!C:C,A18,SALES!I:I))</f>
        <v>3299</v>
      </c>
      <c r="H18" s="30" cm="1">
        <f t="array" ref="H18">IF(A18="","",IFERROR(1/(1/MAX(IFERROR(DATEVALUE(LEFT(IF(SALES!$C$3:$C$200=A18,SALES!$B$3:$B$200,""),10)),0))),""))</f>
        <v>46281</v>
      </c>
      <c r="I18" s="39" t="s">
        <v>71</v>
      </c>
      <c r="K18" s="9" t="s">
        <v>23</v>
      </c>
      <c r="L18" s="12" t="str">
        <f>IF($L$16="","",IFERROR(_xlfn.XLOOKUP($L$16,CustomerMaster[Customer ID],CustomerMaster[Phone]),"Not found"))</f>
        <v>98XXXXXXXX</v>
      </c>
    </row>
    <row r="19" spans="1:12" x14ac:dyDescent="0.25">
      <c r="A19" s="36" t="s">
        <v>272</v>
      </c>
      <c r="B19" s="37" t="s">
        <v>273</v>
      </c>
      <c r="C19" s="37" t="s">
        <v>114</v>
      </c>
      <c r="D19" s="37" t="s">
        <v>274</v>
      </c>
      <c r="E19" s="37" t="s">
        <v>275</v>
      </c>
      <c r="F19" s="38" t="s">
        <v>276</v>
      </c>
      <c r="G19" s="31">
        <f>IF(A19="","",SUMIF(SALES!C:C,A19,SALES!I:I))</f>
        <v>2796</v>
      </c>
      <c r="H19" s="30" cm="1">
        <f t="array" ref="H19">IF(A19="","",IFERROR(1/(1/MAX(IFERROR(DATEVALUE(LEFT(IF(SALES!$C$3:$C$200=A19,SALES!$B$3:$B$200,""),10)),0))),""))</f>
        <v>46280</v>
      </c>
      <c r="I19" s="39" t="s">
        <v>31</v>
      </c>
      <c r="K19" s="9" t="s">
        <v>24</v>
      </c>
      <c r="L19" s="12" t="str">
        <f>IF($L$16="","",IFERROR(_xlfn.XLOOKUP($L$16,CustomerMaster[Customer ID],CustomerMaster[Email]),"Not found"))</f>
        <v>rajesh@email.com</v>
      </c>
    </row>
    <row r="20" spans="1:12" x14ac:dyDescent="0.25">
      <c r="A20" s="36" t="s">
        <v>278</v>
      </c>
      <c r="B20" s="37" t="s">
        <v>279</v>
      </c>
      <c r="C20" s="37" t="s">
        <v>118</v>
      </c>
      <c r="D20" s="37" t="s">
        <v>280</v>
      </c>
      <c r="E20" s="37" t="s">
        <v>281</v>
      </c>
      <c r="F20" s="38" t="s">
        <v>282</v>
      </c>
      <c r="G20" s="31">
        <f>IF(A20="","",SUMIF(SALES!C:C,A20,SALES!I:I))</f>
        <v>16999</v>
      </c>
      <c r="H20" s="30" cm="1">
        <f t="array" ref="H20">IF(A20="","",IFERROR(1/(1/MAX(IFERROR(DATEVALUE(LEFT(IF(SALES!$C$3:$C$200=A20,SALES!$B$3:$B$200,""),10)),0))),""))</f>
        <v>46280</v>
      </c>
      <c r="I20" s="39" t="s">
        <v>31</v>
      </c>
      <c r="K20" s="9" t="s">
        <v>182</v>
      </c>
      <c r="L20" s="12" t="str">
        <f>IF($L$16="","",IFERROR(_xlfn.XLOOKUP($L$16,CustomerMaster[Customer ID],CustomerMaster[Address]),"Not found"))</f>
        <v>12 MG Road, Pune</v>
      </c>
    </row>
    <row r="21" spans="1:12" x14ac:dyDescent="0.25">
      <c r="A21" s="36" t="s">
        <v>283</v>
      </c>
      <c r="B21" s="37" t="s">
        <v>284</v>
      </c>
      <c r="C21" s="37" t="s">
        <v>122</v>
      </c>
      <c r="D21" s="37" t="s">
        <v>285</v>
      </c>
      <c r="E21" s="37" t="s">
        <v>286</v>
      </c>
      <c r="F21" s="38" t="s">
        <v>287</v>
      </c>
      <c r="G21" s="31">
        <f>IF(A21="","",SUMIF(SALES!C:C,A21,SALES!I:I))</f>
        <v>45000</v>
      </c>
      <c r="H21" s="30" cm="1">
        <f t="array" ref="H21">IF(A21="","",IFERROR(1/(1/MAX(IFERROR(DATEVALUE(LEFT(IF(SALES!$C$3:$C$200=A21,SALES!$B$3:$B$200,""),10)),0))),""))</f>
        <v>46279</v>
      </c>
      <c r="I21" s="39" t="s">
        <v>31</v>
      </c>
      <c r="K21" s="9" t="s">
        <v>184</v>
      </c>
      <c r="L21" s="32">
        <f>IF($L$16="","",IFERROR(_xlfn.XLOOKUP($L$16,CustomerMaster[Customer ID],CustomerMaster[Total Purchases]),"Not found"))</f>
        <v>46500</v>
      </c>
    </row>
    <row r="22" spans="1:12" x14ac:dyDescent="0.25">
      <c r="A22" s="36" t="s">
        <v>289</v>
      </c>
      <c r="B22" s="37" t="s">
        <v>290</v>
      </c>
      <c r="C22" s="37" t="s">
        <v>127</v>
      </c>
      <c r="D22" s="37" t="s">
        <v>291</v>
      </c>
      <c r="E22" s="37" t="s">
        <v>292</v>
      </c>
      <c r="F22" s="38" t="s">
        <v>293</v>
      </c>
      <c r="G22" s="31">
        <f>IF(A22="","",SUMIF(SALES!C:C,A22,SALES!I:I))</f>
        <v>2400</v>
      </c>
      <c r="H22" s="30" cm="1">
        <f t="array" ref="H22">IF(A22="","",IFERROR(1/(1/MAX(IFERROR(DATEVALUE(LEFT(IF(SALES!$C$3:$C$200=A22,SALES!$B$3:$B$200,""),10)),0))),""))</f>
        <v>46279</v>
      </c>
      <c r="I22" s="39" t="s">
        <v>71</v>
      </c>
      <c r="K22" s="9" t="s">
        <v>185</v>
      </c>
      <c r="L22" s="33">
        <f>IF($L$16="","",IFERROR(IF(_xlfn.XLOOKUP($L$16,CustomerMaster[Customer ID],CustomerMaster[Last Purchase])="","—",_xlfn.XLOOKUP($L$16,CustomerMaster[Customer ID],CustomerMaster[Last Purchase])),"Not found"))</f>
        <v>46289</v>
      </c>
    </row>
    <row r="23" spans="1:12" ht="15.75" thickBot="1" x14ac:dyDescent="0.3">
      <c r="A23" s="36" t="s">
        <v>294</v>
      </c>
      <c r="B23" s="37" t="s">
        <v>295</v>
      </c>
      <c r="C23" s="37" t="s">
        <v>132</v>
      </c>
      <c r="D23" s="37" t="s">
        <v>296</v>
      </c>
      <c r="E23" s="37" t="s">
        <v>297</v>
      </c>
      <c r="F23" s="38" t="s">
        <v>298</v>
      </c>
      <c r="G23" s="31">
        <f>IF(A23="","",SUMIF(SALES!C:C,A23,SALES!I:I))</f>
        <v>5798</v>
      </c>
      <c r="H23" s="30" cm="1">
        <f t="array" ref="H23">IF(A23="","",IFERROR(1/(1/MAX(IFERROR(DATEVALUE(LEFT(IF(SALES!$C$3:$C$200=A23,SALES!$B$3:$B$200,""),10)),0))),""))</f>
        <v>46278</v>
      </c>
      <c r="I23" s="39" t="s">
        <v>31</v>
      </c>
      <c r="K23" s="34" t="s">
        <v>25</v>
      </c>
      <c r="L23" s="35" t="str">
        <f>IF($L$16="","",IFERROR(_xlfn.XLOOKUP($L$16,CustomerMaster[Customer ID],CustomerMaster[Status]),"Not found"))</f>
        <v>Inactive</v>
      </c>
    </row>
    <row r="24" spans="1:12" ht="15.75" thickBot="1" x14ac:dyDescent="0.3">
      <c r="A24" s="36" t="s">
        <v>300</v>
      </c>
      <c r="B24" s="37" t="s">
        <v>301</v>
      </c>
      <c r="C24" s="37" t="s">
        <v>137</v>
      </c>
      <c r="D24" s="37" t="s">
        <v>302</v>
      </c>
      <c r="E24" s="37" t="s">
        <v>303</v>
      </c>
      <c r="F24" s="38" t="s">
        <v>304</v>
      </c>
      <c r="G24" s="31">
        <f>IF(A24="","",SUMIF(SALES!C:C,A24,SALES!I:I))</f>
        <v>1798</v>
      </c>
      <c r="H24" s="30" cm="1">
        <f t="array" ref="H24">IF(A24="","",IFERROR(1/(1/MAX(IFERROR(DATEVALUE(LEFT(IF(SALES!$C$3:$C$200=A24,SALES!$B$3:$B$200,""),10)),0))),""))</f>
        <v>46278</v>
      </c>
      <c r="I24" s="39" t="s">
        <v>31</v>
      </c>
    </row>
    <row r="25" spans="1:12" ht="18.75" x14ac:dyDescent="0.25">
      <c r="A25" s="36" t="s">
        <v>306</v>
      </c>
      <c r="B25" s="37" t="s">
        <v>307</v>
      </c>
      <c r="C25" s="37" t="s">
        <v>142</v>
      </c>
      <c r="D25" s="37" t="s">
        <v>308</v>
      </c>
      <c r="E25" s="37" t="s">
        <v>309</v>
      </c>
      <c r="F25" s="38" t="s">
        <v>310</v>
      </c>
      <c r="G25" s="31">
        <f>IF(A25="","",SUMIF(SALES!C:C,A25,SALES!I:I))</f>
        <v>5999</v>
      </c>
      <c r="H25" s="30" cm="1">
        <f t="array" ref="H25">IF(A25="","",IFERROR(1/(1/MAX(IFERROR(DATEVALUE(LEFT(IF(SALES!$C$3:$C$200=A25,SALES!$B$3:$B$200,""),10)),0))),""))</f>
        <v>46277</v>
      </c>
      <c r="I25" s="39" t="s">
        <v>31</v>
      </c>
      <c r="K25" s="131" t="s">
        <v>813</v>
      </c>
      <c r="L25" s="137"/>
    </row>
    <row r="26" spans="1:12" x14ac:dyDescent="0.25">
      <c r="A26" s="36" t="s">
        <v>311</v>
      </c>
      <c r="B26" s="37" t="s">
        <v>312</v>
      </c>
      <c r="C26" s="37" t="s">
        <v>147</v>
      </c>
      <c r="D26" s="37" t="s">
        <v>313</v>
      </c>
      <c r="E26" s="37" t="s">
        <v>314</v>
      </c>
      <c r="F26" s="38" t="s">
        <v>315</v>
      </c>
      <c r="G26" s="31">
        <f>IF(A26="","",SUMIF(SALES!C:C,A26,SALES!I:I))</f>
        <v>1499</v>
      </c>
      <c r="H26" s="30" cm="1">
        <f t="array" ref="H26">IF(A26="","",IFERROR(1/(1/MAX(IFERROR(DATEVALUE(LEFT(IF(SALES!$C$3:$C$200=A26,SALES!$B$3:$B$200,""),10)),0))),""))</f>
        <v>46277</v>
      </c>
      <c r="I26" s="39" t="s">
        <v>31</v>
      </c>
      <c r="K26" s="7"/>
      <c r="L26" s="8"/>
    </row>
    <row r="27" spans="1:12" x14ac:dyDescent="0.25">
      <c r="A27" s="36" t="s">
        <v>317</v>
      </c>
      <c r="B27" s="37" t="s">
        <v>318</v>
      </c>
      <c r="C27" s="37" t="s">
        <v>152</v>
      </c>
      <c r="D27" s="37" t="s">
        <v>319</v>
      </c>
      <c r="E27" s="37" t="s">
        <v>320</v>
      </c>
      <c r="F27" s="38" t="s">
        <v>321</v>
      </c>
      <c r="G27" s="31">
        <f>IF(A27="","",SUMIF(SALES!C:C,A27,SALES!I:I))</f>
        <v>9598</v>
      </c>
      <c r="H27" s="30" cm="1">
        <f t="array" ref="H27">IF(A27="","",IFERROR(1/(1/MAX(IFERROR(DATEVALUE(LEFT(IF(SALES!$C$3:$C$200=A27,SALES!$B$3:$B$200,""),10)),0))),""))</f>
        <v>46276</v>
      </c>
      <c r="I27" s="39" t="s">
        <v>31</v>
      </c>
      <c r="K27" s="9" t="s">
        <v>180</v>
      </c>
      <c r="L27" s="28"/>
    </row>
    <row r="28" spans="1:12" x14ac:dyDescent="0.25">
      <c r="A28" s="36" t="s">
        <v>322</v>
      </c>
      <c r="B28" s="37" t="s">
        <v>323</v>
      </c>
      <c r="C28" s="37" t="s">
        <v>324</v>
      </c>
      <c r="D28" s="37" t="s">
        <v>325</v>
      </c>
      <c r="E28" s="37" t="s">
        <v>326</v>
      </c>
      <c r="F28" s="38" t="s">
        <v>327</v>
      </c>
      <c r="G28" s="31">
        <f>IF(A28="","",SUMIF(SALES!C:C,A28,SALES!I:I))</f>
        <v>3000</v>
      </c>
      <c r="H28" s="30" cm="1">
        <f t="array" ref="H28">IF(A28="","",IFERROR(1/(1/MAX(IFERROR(DATEVALUE(LEFT(IF(SALES!$C$3:$C$200=A28,SALES!$B$3:$B$200,""),10)),0))),""))</f>
        <v>46276</v>
      </c>
      <c r="I28" s="39" t="s">
        <v>31</v>
      </c>
      <c r="K28" s="9" t="s">
        <v>181</v>
      </c>
      <c r="L28" s="12" t="str">
        <f>IF(OR($L$27="",$L$27="Enter ID"),"",IFERROR(_xlfn.XLOOKUP($L$27,CustomerMaster[Customer ID],CustomerMaster[Customer Name]),"Not found"))</f>
        <v/>
      </c>
    </row>
    <row r="29" spans="1:12" x14ac:dyDescent="0.25">
      <c r="A29" s="36" t="s">
        <v>329</v>
      </c>
      <c r="B29" s="37" t="s">
        <v>330</v>
      </c>
      <c r="C29" s="37" t="s">
        <v>331</v>
      </c>
      <c r="D29" s="37" t="s">
        <v>332</v>
      </c>
      <c r="E29" s="37" t="s">
        <v>333</v>
      </c>
      <c r="F29" s="38" t="s">
        <v>334</v>
      </c>
      <c r="G29" s="31">
        <f>IF(A29="","",SUMIF(SALES!C:C,A29,SALES!I:I))</f>
        <v>27500</v>
      </c>
      <c r="H29" s="30" cm="1">
        <f t="array" ref="H29">IF(A29="","",IFERROR(1/(1/MAX(IFERROR(DATEVALUE(LEFT(IF(SALES!$C$3:$C$200=A29,SALES!$B$3:$B$200,""),10)),0))),""))</f>
        <v>46275</v>
      </c>
      <c r="I29" s="39" t="s">
        <v>31</v>
      </c>
      <c r="K29" s="9" t="s">
        <v>23</v>
      </c>
      <c r="L29" s="12" t="str">
        <f>IF(OR($L$27="",$L$27="Enter ID"),"",IFERROR(_xlfn.XLOOKUP($L$27,CustomerMaster[Customer ID],CustomerMaster[Phone]),"Not found"))</f>
        <v/>
      </c>
    </row>
    <row r="30" spans="1:12" x14ac:dyDescent="0.25">
      <c r="A30" s="36" t="s">
        <v>335</v>
      </c>
      <c r="B30" s="37" t="s">
        <v>336</v>
      </c>
      <c r="C30" s="37" t="s">
        <v>337</v>
      </c>
      <c r="D30" s="37" t="s">
        <v>338</v>
      </c>
      <c r="E30" s="37" t="s">
        <v>339</v>
      </c>
      <c r="F30" s="38" t="s">
        <v>340</v>
      </c>
      <c r="G30" s="31">
        <f>IF(A30="","",SUMIF(SALES!C:C,A30,SALES!I:I))</f>
        <v>1350</v>
      </c>
      <c r="H30" s="30" cm="1">
        <f t="array" ref="H30">IF(A30="","",IFERROR(1/(1/MAX(IFERROR(DATEVALUE(LEFT(IF(SALES!$C$3:$C$200=A30,SALES!$B$3:$B$200,""),10)),0))),""))</f>
        <v>46275</v>
      </c>
      <c r="I30" s="39" t="s">
        <v>31</v>
      </c>
      <c r="K30" s="9" t="s">
        <v>24</v>
      </c>
      <c r="L30" s="12" t="str">
        <f>IF(OR($L$27="",$L$27="Enter ID"),"",IFERROR(_xlfn.XLOOKUP($L$27,CustomerMaster[Customer ID],CustomerMaster[Email]),"Not found"))</f>
        <v/>
      </c>
    </row>
    <row r="31" spans="1:12" x14ac:dyDescent="0.25">
      <c r="A31" s="36" t="s">
        <v>341</v>
      </c>
      <c r="B31" s="37" t="s">
        <v>342</v>
      </c>
      <c r="C31" s="37" t="s">
        <v>343</v>
      </c>
      <c r="D31" s="37" t="s">
        <v>344</v>
      </c>
      <c r="E31" s="37" t="s">
        <v>345</v>
      </c>
      <c r="F31" s="38" t="s">
        <v>346</v>
      </c>
      <c r="G31" s="31">
        <f>IF(A31="","",SUMIF(SALES!C:C,A31,SALES!I:I))</f>
        <v>1998</v>
      </c>
      <c r="H31" s="30" cm="1">
        <f t="array" ref="H31">IF(A31="","",IFERROR(1/(1/MAX(IFERROR(DATEVALUE(LEFT(IF(SALES!$C$3:$C$200=A31,SALES!$B$3:$B$200,""),10)),0))),""))</f>
        <v>46274</v>
      </c>
      <c r="I31" s="39" t="s">
        <v>71</v>
      </c>
      <c r="K31" s="9" t="s">
        <v>182</v>
      </c>
      <c r="L31" s="12" t="str">
        <f>IF(OR($L$27="",$L$27="Enter ID"),"",IFERROR(_xlfn.XLOOKUP($L$27,CustomerMaster[Customer ID],CustomerMaster[Address]),"Not found"))</f>
        <v/>
      </c>
    </row>
    <row r="32" spans="1:12" x14ac:dyDescent="0.25">
      <c r="A32" s="36" t="s">
        <v>347</v>
      </c>
      <c r="B32" s="37" t="s">
        <v>348</v>
      </c>
      <c r="C32" s="37" t="s">
        <v>349</v>
      </c>
      <c r="D32" s="37" t="s">
        <v>350</v>
      </c>
      <c r="E32" s="37" t="s">
        <v>351</v>
      </c>
      <c r="F32" s="38" t="s">
        <v>352</v>
      </c>
      <c r="G32" s="31">
        <f>IF(A32="","",SUMIF(SALES!C:C,A32,SALES!I:I))</f>
        <v>1400</v>
      </c>
      <c r="H32" s="30" cm="1">
        <f t="array" ref="H32">IF(A32="","",IFERROR(1/(1/MAX(IFERROR(DATEVALUE(LEFT(IF(SALES!$C$3:$C$200=A32,SALES!$B$3:$B$200,""),10)),0))),""))</f>
        <v>46274</v>
      </c>
      <c r="I32" s="39" t="s">
        <v>31</v>
      </c>
      <c r="K32" s="9" t="s">
        <v>25</v>
      </c>
      <c r="L32" s="11" t="str">
        <f>IF(OR($L$27="",$L$27="Enter ID"),"",IFERROR(_xlfn.XLOOKUP($L$27,CustomerMaster[Customer ID],CustomerMaster[Status]),"Not found"))</f>
        <v/>
      </c>
    </row>
    <row r="33" spans="1:12" ht="15.75" thickBot="1" x14ac:dyDescent="0.3">
      <c r="A33" s="36" t="s">
        <v>354</v>
      </c>
      <c r="B33" s="37" t="s">
        <v>355</v>
      </c>
      <c r="C33" s="37" t="s">
        <v>356</v>
      </c>
      <c r="D33" s="37" t="s">
        <v>357</v>
      </c>
      <c r="E33" s="37" t="s">
        <v>358</v>
      </c>
      <c r="F33" s="38" t="s">
        <v>359</v>
      </c>
      <c r="G33" s="31">
        <f>IF(A33="","",SUMIF(SALES!C:C,A33,SALES!I:I))</f>
        <v>5400</v>
      </c>
      <c r="H33" s="30" cm="1">
        <f t="array" ref="H33">IF(A33="","",IFERROR(1/(1/MAX(IFERROR(DATEVALUE(LEFT(IF(SALES!$C$3:$C$200=A33,SALES!$B$3:$B$200,""),10)),0))),""))</f>
        <v>46273</v>
      </c>
      <c r="I33" s="39" t="s">
        <v>31</v>
      </c>
      <c r="K33" s="7"/>
      <c r="L33" s="8"/>
    </row>
    <row r="34" spans="1:12" ht="15.75" thickBot="1" x14ac:dyDescent="0.3">
      <c r="A34" s="36" t="s">
        <v>361</v>
      </c>
      <c r="B34" s="37" t="s">
        <v>362</v>
      </c>
      <c r="C34" s="37" t="s">
        <v>363</v>
      </c>
      <c r="D34" s="37" t="s">
        <v>364</v>
      </c>
      <c r="E34" s="37" t="s">
        <v>365</v>
      </c>
      <c r="F34" s="38" t="s">
        <v>366</v>
      </c>
      <c r="G34" s="31">
        <f>IF(A34="","",SUMIF(SALES!C:C,A34,SALES!I:I))</f>
        <v>2199</v>
      </c>
      <c r="H34" s="30" cm="1">
        <f t="array" ref="H34">IF(A34="","",IFERROR(1/(1/MAX(IFERROR(DATEVALUE(LEFT(IF(SALES!$C$3:$C$200=A34,SALES!$B$3:$B$200,""),10)),0))),""))</f>
        <v>46273</v>
      </c>
      <c r="I34" s="39" t="s">
        <v>31</v>
      </c>
      <c r="K34" s="133" t="s">
        <v>814</v>
      </c>
      <c r="L34" s="134"/>
    </row>
    <row r="35" spans="1:12" x14ac:dyDescent="0.25">
      <c r="A35" s="36" t="s">
        <v>368</v>
      </c>
      <c r="B35" s="37" t="s">
        <v>369</v>
      </c>
      <c r="C35" s="37" t="s">
        <v>370</v>
      </c>
      <c r="D35" s="37" t="s">
        <v>371</v>
      </c>
      <c r="E35" s="37" t="s">
        <v>372</v>
      </c>
      <c r="F35" s="38" t="s">
        <v>373</v>
      </c>
      <c r="G35" s="31">
        <f>IF(A35="","",SUMIF(SALES!C:C,A35,SALES!I:I))</f>
        <v>11996</v>
      </c>
      <c r="H35" s="30" cm="1">
        <f t="array" ref="H35">IF(A35="","",IFERROR(1/(1/MAX(IFERROR(DATEVALUE(LEFT(IF(SALES!$C$3:$C$200=A35,SALES!$B$3:$B$200,""),10)),0))),""))</f>
        <v>46272</v>
      </c>
      <c r="I35" s="39" t="s">
        <v>31</v>
      </c>
    </row>
    <row r="36" spans="1:12" x14ac:dyDescent="0.25">
      <c r="A36" s="36" t="s">
        <v>375</v>
      </c>
      <c r="B36" s="37" t="s">
        <v>376</v>
      </c>
      <c r="C36" s="37" t="s">
        <v>377</v>
      </c>
      <c r="D36" s="37" t="s">
        <v>378</v>
      </c>
      <c r="E36" s="37" t="s">
        <v>379</v>
      </c>
      <c r="F36" s="38" t="s">
        <v>380</v>
      </c>
      <c r="G36" s="31">
        <f>IF(A36="","",SUMIF(SALES!C:C,A36,SALES!I:I))</f>
        <v>1125</v>
      </c>
      <c r="H36" s="30" cm="1">
        <f t="array" ref="H36">IF(A36="","",IFERROR(1/(1/MAX(IFERROR(DATEVALUE(LEFT(IF(SALES!$C$3:$C$200=A36,SALES!$B$3:$B$200,""),10)),0))),""))</f>
        <v>46272</v>
      </c>
      <c r="I36" s="39" t="s">
        <v>31</v>
      </c>
    </row>
    <row r="37" spans="1:12" x14ac:dyDescent="0.25">
      <c r="A37" s="36" t="s">
        <v>381</v>
      </c>
      <c r="B37" s="37" t="s">
        <v>382</v>
      </c>
      <c r="C37" s="37" t="s">
        <v>383</v>
      </c>
      <c r="D37" s="37" t="s">
        <v>384</v>
      </c>
      <c r="E37" s="37" t="s">
        <v>385</v>
      </c>
      <c r="F37" s="38" t="s">
        <v>386</v>
      </c>
      <c r="G37" s="31">
        <f>IF(A37="","",SUMIF(SALES!C:C,A37,SALES!I:I))</f>
        <v>1398</v>
      </c>
      <c r="H37" s="30" cm="1">
        <f t="array" ref="H37">IF(A37="","",IFERROR(1/(1/MAX(IFERROR(DATEVALUE(LEFT(IF(SALES!$C$3:$C$200=A37,SALES!$B$3:$B$200,""),10)),0))),""))</f>
        <v>46271</v>
      </c>
      <c r="I37" s="39" t="s">
        <v>71</v>
      </c>
    </row>
    <row r="38" spans="1:12" x14ac:dyDescent="0.25">
      <c r="A38" s="36" t="s">
        <v>388</v>
      </c>
      <c r="B38" s="37" t="s">
        <v>389</v>
      </c>
      <c r="C38" s="37" t="s">
        <v>390</v>
      </c>
      <c r="D38" s="37" t="s">
        <v>391</v>
      </c>
      <c r="E38" s="37" t="s">
        <v>392</v>
      </c>
      <c r="F38" s="38" t="s">
        <v>393</v>
      </c>
      <c r="G38" s="31">
        <f>IF(A38="","",SUMIF(SALES!C:C,A38,SALES!I:I))</f>
        <v>22000</v>
      </c>
      <c r="H38" s="30" cm="1">
        <f t="array" ref="H38">IF(A38="","",IFERROR(1/(1/MAX(IFERROR(DATEVALUE(LEFT(IF(SALES!$C$3:$C$200=A38,SALES!$B$3:$B$200,""),10)),0))),""))</f>
        <v>46271</v>
      </c>
      <c r="I38" s="39" t="s">
        <v>31</v>
      </c>
    </row>
    <row r="39" spans="1:12" x14ac:dyDescent="0.25">
      <c r="A39" s="36" t="s">
        <v>395</v>
      </c>
      <c r="B39" s="37" t="s">
        <v>396</v>
      </c>
      <c r="C39" s="37" t="s">
        <v>397</v>
      </c>
      <c r="D39" s="37" t="s">
        <v>398</v>
      </c>
      <c r="E39" s="37" t="s">
        <v>399</v>
      </c>
      <c r="F39" s="38" t="s">
        <v>400</v>
      </c>
      <c r="G39" s="31">
        <f>IF(A39="","",SUMIF(SALES!C:C,A39,SALES!I:I))</f>
        <v>15500</v>
      </c>
      <c r="H39" s="30" cm="1">
        <f t="array" ref="H39">IF(A39="","",IFERROR(1/(1/MAX(IFERROR(DATEVALUE(LEFT(IF(SALES!$C$3:$C$200=A39,SALES!$B$3:$B$200,""),10)),0))),""))</f>
        <v>46270</v>
      </c>
      <c r="I39" s="39" t="s">
        <v>31</v>
      </c>
    </row>
    <row r="40" spans="1:12" x14ac:dyDescent="0.25">
      <c r="A40" s="36" t="s">
        <v>401</v>
      </c>
      <c r="B40" s="37" t="s">
        <v>402</v>
      </c>
      <c r="C40" s="37" t="s">
        <v>403</v>
      </c>
      <c r="D40" s="37" t="s">
        <v>404</v>
      </c>
      <c r="E40" s="37" t="s">
        <v>405</v>
      </c>
      <c r="F40" s="38" t="s">
        <v>406</v>
      </c>
      <c r="G40" s="31">
        <f>IF(A40="","",SUMIF(SALES!C:C,A40,SALES!I:I))</f>
        <v>4400</v>
      </c>
      <c r="H40" s="30" cm="1">
        <f t="array" ref="H40">IF(A40="","",IFERROR(1/(1/MAX(IFERROR(DATEVALUE(LEFT(IF(SALES!$C$3:$C$200=A40,SALES!$B$3:$B$200,""),10)),0))),""))</f>
        <v>46270</v>
      </c>
      <c r="I40" s="39" t="s">
        <v>31</v>
      </c>
    </row>
    <row r="41" spans="1:12" x14ac:dyDescent="0.25">
      <c r="A41" s="36" t="s">
        <v>407</v>
      </c>
      <c r="B41" s="37" t="s">
        <v>408</v>
      </c>
      <c r="C41" s="37" t="s">
        <v>409</v>
      </c>
      <c r="D41" s="37" t="s">
        <v>410</v>
      </c>
      <c r="E41" s="37" t="s">
        <v>411</v>
      </c>
      <c r="F41" s="38" t="s">
        <v>412</v>
      </c>
      <c r="G41" s="31">
        <f>IF(A41="","",SUMIF(SALES!C:C,A41,SALES!I:I))</f>
        <v>1199</v>
      </c>
      <c r="H41" s="30" cm="1">
        <f t="array" ref="H41">IF(A41="","",IFERROR(1/(1/MAX(IFERROR(DATEVALUE(LEFT(IF(SALES!$C$3:$C$200=A41,SALES!$B$3:$B$200,""),10)),0))),""))</f>
        <v>46269</v>
      </c>
      <c r="I41" s="39" t="s">
        <v>31</v>
      </c>
    </row>
    <row r="42" spans="1:12" x14ac:dyDescent="0.25">
      <c r="A42" s="36" t="s">
        <v>414</v>
      </c>
      <c r="B42" s="37" t="s">
        <v>415</v>
      </c>
      <c r="C42" s="37" t="s">
        <v>416</v>
      </c>
      <c r="D42" s="37" t="s">
        <v>417</v>
      </c>
      <c r="E42" s="37" t="s">
        <v>418</v>
      </c>
      <c r="F42" s="38" t="s">
        <v>419</v>
      </c>
      <c r="G42" s="31">
        <f>IF(A42="","",SUMIF(SALES!C:C,A42,SALES!I:I))</f>
        <v>1299</v>
      </c>
      <c r="H42" s="30" cm="1">
        <f t="array" ref="H42">IF(A42="","",IFERROR(1/(1/MAX(IFERROR(DATEVALUE(LEFT(IF(SALES!$C$3:$C$200=A42,SALES!$B$3:$B$200,""),10)),0))),""))</f>
        <v>46269</v>
      </c>
      <c r="I42" s="39" t="s">
        <v>71</v>
      </c>
    </row>
    <row r="43" spans="1:12" x14ac:dyDescent="0.25">
      <c r="A43" s="36" t="s">
        <v>420</v>
      </c>
      <c r="B43" s="37" t="s">
        <v>421</v>
      </c>
      <c r="C43" s="37" t="s">
        <v>422</v>
      </c>
      <c r="D43" s="37" t="s">
        <v>423</v>
      </c>
      <c r="E43" s="37" t="s">
        <v>424</v>
      </c>
      <c r="F43" s="38" t="s">
        <v>425</v>
      </c>
      <c r="G43" s="31">
        <f>IF(A43="","",SUMIF(SALES!C:C,A43,SALES!I:I))</f>
        <v>33500</v>
      </c>
      <c r="H43" s="30" cm="1">
        <f t="array" ref="H43">IF(A43="","",IFERROR(1/(1/MAX(IFERROR(DATEVALUE(LEFT(IF(SALES!$C$3:$C$200=A43,SALES!$B$3:$B$200,""),10)),0))),""))</f>
        <v>46268</v>
      </c>
      <c r="I43" s="39" t="s">
        <v>31</v>
      </c>
    </row>
    <row r="44" spans="1:12" x14ac:dyDescent="0.25">
      <c r="A44" s="36" t="s">
        <v>426</v>
      </c>
      <c r="B44" s="37" t="s">
        <v>427</v>
      </c>
      <c r="C44" s="37" t="s">
        <v>428</v>
      </c>
      <c r="D44" s="37" t="s">
        <v>429</v>
      </c>
      <c r="E44" s="37" t="s">
        <v>430</v>
      </c>
      <c r="F44" s="38" t="s">
        <v>431</v>
      </c>
      <c r="G44" s="31">
        <f>IF(A44="","",SUMIF(SALES!C:C,A44,SALES!I:I))</f>
        <v>1920</v>
      </c>
      <c r="H44" s="30" cm="1">
        <f t="array" ref="H44">IF(A44="","",IFERROR(1/(1/MAX(IFERROR(DATEVALUE(LEFT(IF(SALES!$C$3:$C$200=A44,SALES!$B$3:$B$200,""),10)),0))),""))</f>
        <v>46268</v>
      </c>
      <c r="I44" s="39" t="s">
        <v>31</v>
      </c>
    </row>
    <row r="45" spans="1:12" x14ac:dyDescent="0.25">
      <c r="A45" s="36" t="s">
        <v>432</v>
      </c>
      <c r="B45" s="37" t="s">
        <v>433</v>
      </c>
      <c r="C45" s="37" t="s">
        <v>434</v>
      </c>
      <c r="D45" s="37" t="s">
        <v>435</v>
      </c>
      <c r="E45" s="37" t="s">
        <v>436</v>
      </c>
      <c r="F45" s="38" t="s">
        <v>437</v>
      </c>
      <c r="G45" s="31">
        <f>IF(A45="","",SUMIF(SALES!C:C,A45,SALES!I:I))</f>
        <v>3398</v>
      </c>
      <c r="H45" s="30" cm="1">
        <f t="array" ref="H45">IF(A45="","",IFERROR(1/(1/MAX(IFERROR(DATEVALUE(LEFT(IF(SALES!$C$3:$C$200=A45,SALES!$B$3:$B$200,""),10)),0))),""))</f>
        <v>46267</v>
      </c>
      <c r="I45" s="39" t="s">
        <v>31</v>
      </c>
    </row>
    <row r="46" spans="1:12" x14ac:dyDescent="0.25">
      <c r="A46" s="36" t="s">
        <v>438</v>
      </c>
      <c r="B46" s="37" t="s">
        <v>439</v>
      </c>
      <c r="C46" s="37" t="s">
        <v>440</v>
      </c>
      <c r="D46" s="37" t="s">
        <v>441</v>
      </c>
      <c r="E46" s="37" t="s">
        <v>442</v>
      </c>
      <c r="F46" s="38" t="s">
        <v>443</v>
      </c>
      <c r="G46" s="31">
        <f>IF(A46="","",SUMIF(SALES!C:C,A46,SALES!I:I))</f>
        <v>3495</v>
      </c>
      <c r="H46" s="30" cm="1">
        <f t="array" ref="H46">IF(A46="","",IFERROR(1/(1/MAX(IFERROR(DATEVALUE(LEFT(IF(SALES!$C$3:$C$200=A46,SALES!$B$3:$B$200,""),10)),0))),""))</f>
        <v>46267</v>
      </c>
      <c r="I46" s="39" t="s">
        <v>31</v>
      </c>
    </row>
    <row r="47" spans="1:12" x14ac:dyDescent="0.25">
      <c r="A47" s="36" t="s">
        <v>444</v>
      </c>
      <c r="B47" s="37" t="s">
        <v>445</v>
      </c>
      <c r="C47" s="37" t="s">
        <v>446</v>
      </c>
      <c r="D47" s="37" t="s">
        <v>447</v>
      </c>
      <c r="E47" s="37" t="s">
        <v>448</v>
      </c>
      <c r="F47" s="38" t="s">
        <v>449</v>
      </c>
      <c r="G47" s="31">
        <f>IF(A47="","",SUMIF(SALES!C:C,A47,SALES!I:I))</f>
        <v>16999</v>
      </c>
      <c r="H47" s="30" cm="1">
        <f t="array" ref="H47">IF(A47="","",IFERROR(1/(1/MAX(IFERROR(DATEVALUE(LEFT(IF(SALES!$C$3:$C$200=A47,SALES!$B$3:$B$200,""),10)),0))),""))</f>
        <v>46266</v>
      </c>
      <c r="I47" s="39" t="s">
        <v>31</v>
      </c>
    </row>
    <row r="48" spans="1:12" x14ac:dyDescent="0.25">
      <c r="A48" s="36" t="s">
        <v>450</v>
      </c>
      <c r="B48" s="37" t="s">
        <v>451</v>
      </c>
      <c r="C48" s="37" t="s">
        <v>452</v>
      </c>
      <c r="D48" s="37" t="s">
        <v>453</v>
      </c>
      <c r="E48" s="37" t="s">
        <v>454</v>
      </c>
      <c r="F48" s="38" t="s">
        <v>455</v>
      </c>
      <c r="G48" s="31">
        <f>IF(A48="","",SUMIF(SALES!C:C,A48,SALES!I:I))</f>
        <v>2080</v>
      </c>
      <c r="H48" s="30" cm="1">
        <f t="array" ref="H48">IF(A48="","",IFERROR(1/(1/MAX(IFERROR(DATEVALUE(LEFT(IF(SALES!$C$3:$C$200=A48,SALES!$B$3:$B$200,""),10)),0))),""))</f>
        <v>46266</v>
      </c>
      <c r="I48" s="39" t="s">
        <v>31</v>
      </c>
    </row>
    <row r="49" spans="1:9" x14ac:dyDescent="0.25">
      <c r="A49" s="36" t="s">
        <v>456</v>
      </c>
      <c r="B49" s="37" t="s">
        <v>457</v>
      </c>
      <c r="C49" s="37" t="s">
        <v>458</v>
      </c>
      <c r="D49" s="37" t="s">
        <v>459</v>
      </c>
      <c r="E49" s="37" t="s">
        <v>460</v>
      </c>
      <c r="F49" s="38" t="s">
        <v>387</v>
      </c>
      <c r="G49" s="31">
        <f>IF(A49="","",SUMIF(SALES!C:C,A49,SALES!I:I))</f>
        <v>45000</v>
      </c>
      <c r="H49" s="30" cm="1">
        <f t="array" ref="H49">IF(A49="","",IFERROR(1/(1/MAX(IFERROR(DATEVALUE(LEFT(IF(SALES!$C$3:$C$200=A49,SALES!$B$3:$B$200,""),10)),0))),""))</f>
        <v>46265</v>
      </c>
      <c r="I49" s="39" t="s">
        <v>31</v>
      </c>
    </row>
    <row r="50" spans="1:9" x14ac:dyDescent="0.25">
      <c r="A50" s="36" t="s">
        <v>461</v>
      </c>
      <c r="B50" s="37" t="s">
        <v>462</v>
      </c>
      <c r="C50" s="37" t="s">
        <v>463</v>
      </c>
      <c r="D50" s="37" t="s">
        <v>464</v>
      </c>
      <c r="E50" s="37" t="s">
        <v>465</v>
      </c>
      <c r="F50" s="38" t="s">
        <v>466</v>
      </c>
      <c r="G50" s="31">
        <f>IF(A50="","",SUMIF(SALES!C:C,A50,SALES!I:I))</f>
        <v>3200</v>
      </c>
      <c r="H50" s="30" cm="1">
        <f t="array" ref="H50">IF(A50="","",IFERROR(1/(1/MAX(IFERROR(DATEVALUE(LEFT(IF(SALES!$C$3:$C$200=A50,SALES!$B$3:$B$200,""),10)),0))),""))</f>
        <v>46265</v>
      </c>
      <c r="I50" s="39" t="s">
        <v>71</v>
      </c>
    </row>
    <row r="51" spans="1:9" x14ac:dyDescent="0.25">
      <c r="A51" s="36" t="s">
        <v>467</v>
      </c>
      <c r="B51" s="37" t="s">
        <v>468</v>
      </c>
      <c r="C51" s="37" t="s">
        <v>469</v>
      </c>
      <c r="D51" s="37" t="s">
        <v>470</v>
      </c>
      <c r="E51" s="37" t="s">
        <v>471</v>
      </c>
      <c r="F51" s="38" t="s">
        <v>472</v>
      </c>
      <c r="G51" s="31">
        <f>IF(A51="","",SUMIF(SALES!C:C,A51,SALES!I:I))</f>
        <v>0</v>
      </c>
      <c r="H51" s="30" t="str" cm="1">
        <f t="array" ref="H51">IF(A51="","",IFERROR(1/(1/MAX(IFERROR(DATEVALUE(LEFT(IF(SALES!$C$3:$C$200=A51,SALES!$B$3:$B$200,""),10)),0))),""))</f>
        <v/>
      </c>
      <c r="I51" s="39" t="s">
        <v>31</v>
      </c>
    </row>
    <row r="52" spans="1:9" x14ac:dyDescent="0.25">
      <c r="A52" s="36" t="s">
        <v>473</v>
      </c>
      <c r="B52" s="37" t="s">
        <v>474</v>
      </c>
      <c r="C52" s="37" t="s">
        <v>475</v>
      </c>
      <c r="D52" s="37" t="s">
        <v>476</v>
      </c>
      <c r="E52" s="37" t="s">
        <v>477</v>
      </c>
      <c r="F52" s="38" t="s">
        <v>478</v>
      </c>
      <c r="G52" s="31">
        <f>IF(A52="","",SUMIF(SALES!C:C,A52,SALES!I:I))</f>
        <v>0</v>
      </c>
      <c r="H52" s="30" t="str" cm="1">
        <f t="array" ref="H52">IF(A52="","",IFERROR(1/(1/MAX(IFERROR(DATEVALUE(LEFT(IF(SALES!$C$3:$C$200=A52,SALES!$B$3:$B$200,""),10)),0))),""))</f>
        <v/>
      </c>
      <c r="I52" s="39" t="s">
        <v>31</v>
      </c>
    </row>
    <row r="53" spans="1:9" x14ac:dyDescent="0.25">
      <c r="A53" s="36" t="s">
        <v>830</v>
      </c>
      <c r="B53" s="37" t="s">
        <v>828</v>
      </c>
      <c r="C53" s="37" t="s">
        <v>94</v>
      </c>
      <c r="D53" s="37" t="s">
        <v>829</v>
      </c>
      <c r="E53" s="37" t="s">
        <v>779</v>
      </c>
      <c r="F53" s="38" t="s">
        <v>827</v>
      </c>
      <c r="G53" s="31">
        <f>IF(A53="","",SUMIF(SALES!C:C,A53,SALES!I:I))</f>
        <v>3000</v>
      </c>
      <c r="H53" s="30" t="str" cm="1">
        <f t="array" ref="H53">IF(A53="","",IFERROR(1/(1/MAX(IFERROR(DATEVALUE(LEFT(IF(SALES!$C$3:$C$200=A53,SALES!$B$3:$B$200,""),10)),0))),""))</f>
        <v/>
      </c>
      <c r="I53" s="39" t="s">
        <v>31</v>
      </c>
    </row>
    <row r="54" spans="1:9" x14ac:dyDescent="0.25">
      <c r="A54" s="20"/>
      <c r="B54" s="21"/>
      <c r="C54" s="21"/>
      <c r="D54" s="21"/>
      <c r="E54" s="21"/>
      <c r="F54" s="22"/>
      <c r="G54" s="3"/>
      <c r="H54" s="5"/>
      <c r="I54" s="21"/>
    </row>
    <row r="55" spans="1:9" x14ac:dyDescent="0.25">
      <c r="A55" s="20"/>
      <c r="B55" s="21"/>
      <c r="C55" s="21"/>
      <c r="D55" s="21"/>
      <c r="E55" s="21"/>
      <c r="F55" s="22"/>
      <c r="G55" s="3"/>
      <c r="H55" s="5"/>
      <c r="I55" s="21"/>
    </row>
    <row r="56" spans="1:9" x14ac:dyDescent="0.25">
      <c r="A56" s="20"/>
      <c r="B56" s="21"/>
      <c r="C56" s="21"/>
      <c r="D56" s="21"/>
      <c r="E56" s="21"/>
      <c r="F56" s="22"/>
      <c r="G56" s="3"/>
      <c r="H56" s="5"/>
      <c r="I56" s="21"/>
    </row>
    <row r="57" spans="1:9" x14ac:dyDescent="0.25">
      <c r="A57" s="20"/>
      <c r="B57" s="21"/>
      <c r="C57" s="21"/>
      <c r="D57" s="21"/>
      <c r="E57" s="21"/>
      <c r="F57" s="22"/>
      <c r="G57" s="3"/>
      <c r="H57" s="5"/>
      <c r="I57" s="21"/>
    </row>
    <row r="58" spans="1:9" x14ac:dyDescent="0.25">
      <c r="A58" s="20"/>
      <c r="B58" s="21"/>
      <c r="C58" s="21"/>
      <c r="D58" s="21"/>
      <c r="E58" s="21"/>
      <c r="F58" s="22"/>
      <c r="G58" s="3"/>
      <c r="H58" s="5"/>
      <c r="I58" s="21"/>
    </row>
    <row r="59" spans="1:9" x14ac:dyDescent="0.25">
      <c r="A59" s="20"/>
      <c r="B59" s="21"/>
      <c r="C59" s="21"/>
      <c r="D59" s="21"/>
      <c r="E59" s="21"/>
      <c r="F59" s="22"/>
      <c r="G59" s="3"/>
      <c r="H59" s="5"/>
      <c r="I59" s="21"/>
    </row>
    <row r="60" spans="1:9" x14ac:dyDescent="0.25">
      <c r="A60" s="20"/>
      <c r="B60" s="21"/>
      <c r="C60" s="21"/>
      <c r="D60" s="21"/>
      <c r="E60" s="21"/>
      <c r="F60" s="22"/>
      <c r="G60" s="3"/>
      <c r="H60" s="5"/>
      <c r="I60" s="21"/>
    </row>
    <row r="61" spans="1:9" x14ac:dyDescent="0.25">
      <c r="A61" s="20"/>
      <c r="B61" s="21"/>
      <c r="C61" s="21"/>
      <c r="D61" s="21"/>
      <c r="E61" s="21"/>
      <c r="F61" s="22"/>
      <c r="G61" s="3"/>
      <c r="H61" s="5"/>
      <c r="I61" s="21"/>
    </row>
    <row r="62" spans="1:9" x14ac:dyDescent="0.25">
      <c r="A62" s="20"/>
      <c r="B62" s="21"/>
      <c r="C62" s="21"/>
      <c r="D62" s="21"/>
      <c r="E62" s="21"/>
      <c r="F62" s="22"/>
      <c r="G62" s="3"/>
      <c r="H62" s="5"/>
      <c r="I62" s="21"/>
    </row>
    <row r="63" spans="1:9" x14ac:dyDescent="0.25">
      <c r="A63" s="20"/>
      <c r="B63" s="21"/>
      <c r="C63" s="21"/>
      <c r="D63" s="21"/>
      <c r="E63" s="21"/>
      <c r="F63" s="22"/>
      <c r="G63" s="3"/>
      <c r="H63" s="5"/>
      <c r="I63" s="21"/>
    </row>
    <row r="64" spans="1:9" x14ac:dyDescent="0.25">
      <c r="A64" s="20"/>
      <c r="B64" s="21"/>
      <c r="C64" s="21"/>
      <c r="D64" s="21"/>
      <c r="E64" s="21"/>
      <c r="F64" s="22"/>
      <c r="G64" s="3"/>
      <c r="H64" s="5"/>
      <c r="I64" s="21"/>
    </row>
    <row r="65" spans="1:9" x14ac:dyDescent="0.25">
      <c r="A65" s="20"/>
      <c r="B65" s="21"/>
      <c r="C65" s="21"/>
      <c r="D65" s="21"/>
      <c r="E65" s="21"/>
      <c r="F65" s="22"/>
      <c r="G65" s="3"/>
      <c r="H65" s="5"/>
      <c r="I65" s="21"/>
    </row>
    <row r="66" spans="1:9" x14ac:dyDescent="0.25">
      <c r="A66" s="20"/>
      <c r="B66" s="21"/>
      <c r="C66" s="21"/>
      <c r="D66" s="21"/>
      <c r="E66" s="21"/>
      <c r="F66" s="22"/>
      <c r="G66" s="3"/>
      <c r="H66" s="5"/>
      <c r="I66" s="21"/>
    </row>
    <row r="67" spans="1:9" x14ac:dyDescent="0.25">
      <c r="A67" s="20"/>
      <c r="B67" s="21"/>
      <c r="C67" s="21"/>
      <c r="D67" s="21"/>
      <c r="E67" s="21"/>
      <c r="F67" s="22"/>
      <c r="G67" s="3"/>
      <c r="H67" s="5"/>
      <c r="I67" s="21"/>
    </row>
    <row r="68" spans="1:9" x14ac:dyDescent="0.25">
      <c r="A68" s="20"/>
      <c r="B68" s="21"/>
      <c r="C68" s="21"/>
      <c r="D68" s="21"/>
      <c r="E68" s="21"/>
      <c r="F68" s="22"/>
      <c r="G68" s="3"/>
      <c r="H68" s="5"/>
      <c r="I68" s="21"/>
    </row>
    <row r="69" spans="1:9" x14ac:dyDescent="0.25">
      <c r="A69" s="20"/>
      <c r="B69" s="21"/>
      <c r="C69" s="21"/>
      <c r="D69" s="21"/>
      <c r="E69" s="21"/>
      <c r="F69" s="22"/>
      <c r="G69" s="3"/>
      <c r="H69" s="5"/>
      <c r="I69" s="21"/>
    </row>
    <row r="70" spans="1:9" x14ac:dyDescent="0.25">
      <c r="A70" s="20"/>
      <c r="B70" s="21"/>
      <c r="C70" s="21"/>
      <c r="D70" s="21"/>
      <c r="E70" s="21"/>
      <c r="F70" s="22"/>
      <c r="G70" s="3"/>
      <c r="H70" s="5"/>
      <c r="I70" s="21"/>
    </row>
    <row r="71" spans="1:9" x14ac:dyDescent="0.25">
      <c r="A71" s="20"/>
      <c r="B71" s="21"/>
      <c r="C71" s="21"/>
      <c r="D71" s="21"/>
      <c r="E71" s="21"/>
      <c r="F71" s="22"/>
      <c r="G71" s="3"/>
      <c r="H71" s="5"/>
      <c r="I71" s="21"/>
    </row>
    <row r="72" spans="1:9" x14ac:dyDescent="0.25">
      <c r="A72" s="20"/>
      <c r="B72" s="21"/>
      <c r="C72" s="21"/>
      <c r="D72" s="21"/>
      <c r="E72" s="21"/>
      <c r="F72" s="22"/>
      <c r="G72" s="3"/>
      <c r="H72" s="5"/>
      <c r="I72" s="21"/>
    </row>
    <row r="73" spans="1:9" x14ac:dyDescent="0.25">
      <c r="A73" s="20"/>
      <c r="B73" s="21"/>
      <c r="C73" s="21"/>
      <c r="D73" s="21"/>
      <c r="E73" s="21"/>
      <c r="F73" s="22"/>
      <c r="G73" s="3"/>
      <c r="H73" s="5"/>
      <c r="I73" s="21"/>
    </row>
    <row r="74" spans="1:9" x14ac:dyDescent="0.25">
      <c r="A74" s="20"/>
      <c r="B74" s="21"/>
      <c r="C74" s="21"/>
      <c r="D74" s="21"/>
      <c r="E74" s="21"/>
      <c r="F74" s="22"/>
      <c r="G74" s="3"/>
      <c r="H74" s="5"/>
      <c r="I74" s="21"/>
    </row>
    <row r="75" spans="1:9" x14ac:dyDescent="0.25">
      <c r="A75" s="20"/>
      <c r="B75" s="21"/>
      <c r="C75" s="21"/>
      <c r="D75" s="21"/>
      <c r="E75" s="21"/>
      <c r="F75" s="22"/>
      <c r="G75" s="3"/>
      <c r="H75" s="5"/>
      <c r="I75" s="21"/>
    </row>
    <row r="76" spans="1:9" x14ac:dyDescent="0.25">
      <c r="A76" s="20"/>
      <c r="B76" s="21"/>
      <c r="C76" s="21"/>
      <c r="D76" s="21"/>
      <c r="E76" s="21"/>
      <c r="F76" s="22"/>
      <c r="G76" s="3"/>
      <c r="H76" s="5"/>
      <c r="I76" s="21"/>
    </row>
    <row r="77" spans="1:9" x14ac:dyDescent="0.25">
      <c r="A77" s="20"/>
      <c r="B77" s="21"/>
      <c r="C77" s="21"/>
      <c r="D77" s="21"/>
      <c r="E77" s="21"/>
      <c r="F77" s="22"/>
      <c r="G77" s="3"/>
      <c r="H77" s="5"/>
      <c r="I77" s="21"/>
    </row>
    <row r="78" spans="1:9" x14ac:dyDescent="0.25">
      <c r="A78" s="20"/>
      <c r="B78" s="21"/>
      <c r="C78" s="21"/>
      <c r="D78" s="21"/>
      <c r="E78" s="21"/>
      <c r="F78" s="22"/>
      <c r="G78" s="3"/>
      <c r="H78" s="5"/>
      <c r="I78" s="21"/>
    </row>
    <row r="79" spans="1:9" x14ac:dyDescent="0.25">
      <c r="A79" s="20"/>
      <c r="B79" s="21"/>
      <c r="C79" s="21"/>
      <c r="D79" s="21"/>
      <c r="E79" s="21"/>
      <c r="F79" s="22"/>
      <c r="G79" s="3"/>
      <c r="H79" s="5"/>
      <c r="I79" s="21"/>
    </row>
    <row r="80" spans="1:9" x14ac:dyDescent="0.25">
      <c r="A80" s="20"/>
      <c r="B80" s="21"/>
      <c r="C80" s="21"/>
      <c r="D80" s="21"/>
      <c r="E80" s="21"/>
      <c r="F80" s="22"/>
      <c r="G80" s="3"/>
      <c r="H80" s="5"/>
      <c r="I80" s="21"/>
    </row>
  </sheetData>
  <sheetProtection sheet="1" scenarios="1" formatColumns="0" sort="0" autoFilter="0"/>
  <mergeCells count="7">
    <mergeCell ref="K25:L25"/>
    <mergeCell ref="K34:L34"/>
    <mergeCell ref="A1:I1"/>
    <mergeCell ref="K2:L2"/>
    <mergeCell ref="K12:L12"/>
    <mergeCell ref="K13:L13"/>
    <mergeCell ref="K15:L15"/>
  </mergeCells>
  <dataValidations count="1">
    <dataValidation type="list" allowBlank="1" showInputMessage="1" showErrorMessage="1" sqref="L8" xr:uid="{79FF5009-569E-406C-A35E-A7A5E411599E}">
      <formula1>$N$7:$N$8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Home">
                <anchor moveWithCells="1" sizeWithCells="1">
                  <from>
                    <xdr:col>0</xdr:col>
                    <xdr:colOff>180975</xdr:colOff>
                    <xdr:row>0</xdr:row>
                    <xdr:rowOff>28575</xdr:rowOff>
                  </from>
                  <to>
                    <xdr:col>0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ddCustomer">
                <anchor moveWithCells="1" sizeWithCells="1">
                  <from>
                    <xdr:col>10</xdr:col>
                    <xdr:colOff>57150</xdr:colOff>
                    <xdr:row>11</xdr:row>
                    <xdr:rowOff>9525</xdr:rowOff>
                  </from>
                  <to>
                    <xdr:col>11</xdr:col>
                    <xdr:colOff>1981200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CustomerForm">
                <anchor moveWithCells="1" sizeWithCells="1">
                  <from>
                    <xdr:col>10</xdr:col>
                    <xdr:colOff>47625</xdr:colOff>
                    <xdr:row>12</xdr:row>
                    <xdr:rowOff>19050</xdr:rowOff>
                  </from>
                  <to>
                    <xdr:col>11</xdr:col>
                    <xdr:colOff>1971675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LoadCustomerForEdit">
                <anchor moveWithCells="1" sizeWithCells="1">
                  <from>
                    <xdr:col>10</xdr:col>
                    <xdr:colOff>57150</xdr:colOff>
                    <xdr:row>33</xdr:row>
                    <xdr:rowOff>9525</xdr:rowOff>
                  </from>
                  <to>
                    <xdr:col>11</xdr:col>
                    <xdr:colOff>1981200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UpdateCustomer">
                <anchor moveWithCells="1" sizeWithCells="1">
                  <from>
                    <xdr:col>10</xdr:col>
                    <xdr:colOff>76200</xdr:colOff>
                    <xdr:row>12</xdr:row>
                    <xdr:rowOff>190500</xdr:rowOff>
                  </from>
                  <to>
                    <xdr:col>11</xdr:col>
                    <xdr:colOff>2000250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DeleteCustomer">
                <anchor moveWithCells="1" sizeWithCells="1">
                  <from>
                    <xdr:col>12</xdr:col>
                    <xdr:colOff>57150</xdr:colOff>
                    <xdr:row>11</xdr:row>
                    <xdr:rowOff>66675</xdr:rowOff>
                  </from>
                  <to>
                    <xdr:col>14</xdr:col>
                    <xdr:colOff>152400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DF9-FFE1-44D7-8BD2-2E09BB435FC3}">
  <sheetPr codeName="Sheet4">
    <tabColor rgb="FF1B365D"/>
  </sheetPr>
  <dimension ref="A1:Q80"/>
  <sheetViews>
    <sheetView showGridLines="0" workbookViewId="0">
      <selection activeCell="L18" sqref="L18"/>
    </sheetView>
  </sheetViews>
  <sheetFormatPr defaultRowHeight="15" x14ac:dyDescent="0.25"/>
  <cols>
    <col min="1" max="1" width="19" customWidth="1"/>
    <col min="2" max="2" width="26.7109375" customWidth="1"/>
    <col min="3" max="4" width="21" customWidth="1"/>
    <col min="5" max="5" width="22.85546875" customWidth="1"/>
    <col min="6" max="7" width="21" customWidth="1"/>
    <col min="8" max="9" width="17.140625" customWidth="1"/>
    <col min="10" max="12" width="21" customWidth="1"/>
    <col min="14" max="14" width="24.7109375" customWidth="1"/>
    <col min="15" max="15" width="28.5703125" customWidth="1"/>
  </cols>
  <sheetData>
    <row r="1" spans="1:17" ht="27.95" customHeight="1" thickBot="1" x14ac:dyDescent="0.3">
      <c r="A1" s="135" t="s">
        <v>479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Q1" s="1" t="s">
        <v>494</v>
      </c>
    </row>
    <row r="2" spans="1:17" ht="21.95" customHeight="1" x14ac:dyDescent="0.25">
      <c r="A2" s="6" t="s">
        <v>480</v>
      </c>
      <c r="B2" s="6" t="s">
        <v>481</v>
      </c>
      <c r="C2" s="6" t="s">
        <v>482</v>
      </c>
      <c r="D2" s="6" t="s">
        <v>483</v>
      </c>
      <c r="E2" s="6" t="s">
        <v>484</v>
      </c>
      <c r="F2" s="6" t="s">
        <v>485</v>
      </c>
      <c r="G2" s="6" t="s">
        <v>486</v>
      </c>
      <c r="H2" s="6" t="s">
        <v>487</v>
      </c>
      <c r="I2" s="6" t="s">
        <v>488</v>
      </c>
      <c r="J2" s="6" t="s">
        <v>489</v>
      </c>
      <c r="K2" s="6" t="s">
        <v>490</v>
      </c>
      <c r="L2" s="6" t="s">
        <v>491</v>
      </c>
      <c r="N2" s="131" t="s">
        <v>815</v>
      </c>
      <c r="O2" s="137"/>
      <c r="Q2" s="1" t="s">
        <v>498</v>
      </c>
    </row>
    <row r="3" spans="1:17" x14ac:dyDescent="0.25">
      <c r="A3" s="36" t="s">
        <v>492</v>
      </c>
      <c r="B3" s="37" t="s">
        <v>493</v>
      </c>
      <c r="C3" s="39" t="s">
        <v>494</v>
      </c>
      <c r="D3" s="39" t="s">
        <v>495</v>
      </c>
      <c r="E3" s="46">
        <v>40000</v>
      </c>
      <c r="F3" s="46">
        <v>46000</v>
      </c>
      <c r="G3" s="47">
        <v>10</v>
      </c>
      <c r="H3" s="47">
        <v>5</v>
      </c>
      <c r="I3" s="47">
        <v>2</v>
      </c>
      <c r="J3" s="41">
        <f t="shared" ref="J3:J34" si="0">G3+H3-I3</f>
        <v>13</v>
      </c>
      <c r="K3" s="47">
        <v>3</v>
      </c>
      <c r="L3" s="42" t="str">
        <f>IF(J3&lt;=SETTINGS!$C$16,"LOW STOCK","OK")</f>
        <v>OK</v>
      </c>
      <c r="N3" s="9" t="s">
        <v>481</v>
      </c>
      <c r="O3" s="24"/>
      <c r="Q3" s="1" t="s">
        <v>508</v>
      </c>
    </row>
    <row r="4" spans="1:17" x14ac:dyDescent="0.25">
      <c r="A4" s="36" t="s">
        <v>496</v>
      </c>
      <c r="B4" s="37" t="s">
        <v>497</v>
      </c>
      <c r="C4" s="39" t="s">
        <v>498</v>
      </c>
      <c r="D4" s="39" t="s">
        <v>499</v>
      </c>
      <c r="E4" s="46">
        <v>500</v>
      </c>
      <c r="F4" s="46">
        <v>800</v>
      </c>
      <c r="G4" s="47">
        <v>20</v>
      </c>
      <c r="H4" s="47">
        <v>10</v>
      </c>
      <c r="I4" s="47">
        <v>5</v>
      </c>
      <c r="J4" s="41">
        <f t="shared" si="0"/>
        <v>25</v>
      </c>
      <c r="K4" s="47">
        <v>5</v>
      </c>
      <c r="L4" s="42" t="str">
        <f>IF(J4&lt;=SETTINGS!$C$16,"LOW STOCK","OK")</f>
        <v>OK</v>
      </c>
      <c r="N4" s="9" t="s">
        <v>482</v>
      </c>
      <c r="O4" s="24"/>
      <c r="Q4" s="1" t="s">
        <v>512</v>
      </c>
    </row>
    <row r="5" spans="1:17" x14ac:dyDescent="0.25">
      <c r="A5" s="36" t="s">
        <v>500</v>
      </c>
      <c r="B5" s="37" t="s">
        <v>501</v>
      </c>
      <c r="C5" s="39" t="s">
        <v>498</v>
      </c>
      <c r="D5" s="39" t="s">
        <v>499</v>
      </c>
      <c r="E5" s="46">
        <v>300</v>
      </c>
      <c r="F5" s="46">
        <v>500</v>
      </c>
      <c r="G5" s="47">
        <v>15</v>
      </c>
      <c r="H5" s="47">
        <v>5</v>
      </c>
      <c r="I5" s="47">
        <v>17</v>
      </c>
      <c r="J5" s="41">
        <f t="shared" si="0"/>
        <v>3</v>
      </c>
      <c r="K5" s="47">
        <v>5</v>
      </c>
      <c r="L5" s="42" t="str">
        <f>IF(J5&lt;=SETTINGS!$C$16,"LOW STOCK","OK")</f>
        <v>LOW STOCK</v>
      </c>
      <c r="N5" s="9" t="s">
        <v>483</v>
      </c>
      <c r="O5" s="24"/>
      <c r="Q5" s="1"/>
    </row>
    <row r="6" spans="1:17" x14ac:dyDescent="0.25">
      <c r="A6" s="36" t="s">
        <v>502</v>
      </c>
      <c r="B6" s="37" t="s">
        <v>503</v>
      </c>
      <c r="C6" s="39" t="s">
        <v>494</v>
      </c>
      <c r="D6" s="39" t="s">
        <v>495</v>
      </c>
      <c r="E6" s="46">
        <v>8500</v>
      </c>
      <c r="F6" s="46">
        <v>11000</v>
      </c>
      <c r="G6" s="47">
        <v>12</v>
      </c>
      <c r="H6" s="47">
        <v>6</v>
      </c>
      <c r="I6" s="47">
        <v>4</v>
      </c>
      <c r="J6" s="41">
        <f t="shared" si="0"/>
        <v>14</v>
      </c>
      <c r="K6" s="47">
        <v>4</v>
      </c>
      <c r="L6" s="42" t="str">
        <f>IF(J6&lt;=SETTINGS!$C$16,"LOW STOCK","OK")</f>
        <v>OK</v>
      </c>
      <c r="N6" s="9" t="s">
        <v>484</v>
      </c>
      <c r="O6" s="49"/>
      <c r="Q6" s="1" t="s">
        <v>495</v>
      </c>
    </row>
    <row r="7" spans="1:17" x14ac:dyDescent="0.25">
      <c r="A7" s="36" t="s">
        <v>504</v>
      </c>
      <c r="B7" s="37" t="s">
        <v>505</v>
      </c>
      <c r="C7" s="39" t="s">
        <v>498</v>
      </c>
      <c r="D7" s="39" t="s">
        <v>499</v>
      </c>
      <c r="E7" s="46">
        <v>250</v>
      </c>
      <c r="F7" s="46">
        <v>450</v>
      </c>
      <c r="G7" s="47">
        <v>30</v>
      </c>
      <c r="H7" s="47">
        <v>15</v>
      </c>
      <c r="I7" s="47">
        <v>20</v>
      </c>
      <c r="J7" s="41">
        <f t="shared" si="0"/>
        <v>25</v>
      </c>
      <c r="K7" s="47">
        <v>8</v>
      </c>
      <c r="L7" s="42" t="str">
        <f>IF(J7&lt;=SETTINGS!$C$16,"LOW STOCK","OK")</f>
        <v>OK</v>
      </c>
      <c r="N7" s="9" t="s">
        <v>485</v>
      </c>
      <c r="O7" s="49"/>
      <c r="Q7" s="1" t="s">
        <v>499</v>
      </c>
    </row>
    <row r="8" spans="1:17" x14ac:dyDescent="0.25">
      <c r="A8" s="36" t="s">
        <v>506</v>
      </c>
      <c r="B8" s="37" t="s">
        <v>507</v>
      </c>
      <c r="C8" s="39" t="s">
        <v>508</v>
      </c>
      <c r="D8" s="39" t="s">
        <v>509</v>
      </c>
      <c r="E8" s="46">
        <v>4200</v>
      </c>
      <c r="F8" s="46">
        <v>5999</v>
      </c>
      <c r="G8" s="47">
        <v>8</v>
      </c>
      <c r="H8" s="47">
        <v>4</v>
      </c>
      <c r="I8" s="47">
        <v>4</v>
      </c>
      <c r="J8" s="41">
        <f t="shared" si="0"/>
        <v>8</v>
      </c>
      <c r="K8" s="47">
        <v>3</v>
      </c>
      <c r="L8" s="42" t="str">
        <f>IF(J8&lt;=SETTINGS!$C$16,"LOW STOCK","OK")</f>
        <v>OK</v>
      </c>
      <c r="N8" s="9" t="s">
        <v>486</v>
      </c>
      <c r="O8" s="50"/>
      <c r="Q8" s="1"/>
    </row>
    <row r="9" spans="1:17" x14ac:dyDescent="0.25">
      <c r="A9" s="36" t="s">
        <v>510</v>
      </c>
      <c r="B9" s="37" t="s">
        <v>511</v>
      </c>
      <c r="C9" s="39" t="s">
        <v>512</v>
      </c>
      <c r="D9" s="39" t="s">
        <v>513</v>
      </c>
      <c r="E9" s="46">
        <v>180</v>
      </c>
      <c r="F9" s="46">
        <v>260</v>
      </c>
      <c r="G9" s="47">
        <v>40</v>
      </c>
      <c r="H9" s="47">
        <v>20</v>
      </c>
      <c r="I9" s="47">
        <v>25</v>
      </c>
      <c r="J9" s="41">
        <f t="shared" si="0"/>
        <v>35</v>
      </c>
      <c r="K9" s="47">
        <v>15</v>
      </c>
      <c r="L9" s="42" t="str">
        <f>IF(J9&lt;=SETTINGS!$C$16,"LOW STOCK","OK")</f>
        <v>OK</v>
      </c>
      <c r="N9" s="9" t="s">
        <v>490</v>
      </c>
      <c r="O9" s="50"/>
      <c r="Q9" s="1" t="s">
        <v>816</v>
      </c>
    </row>
    <row r="10" spans="1:17" x14ac:dyDescent="0.25">
      <c r="A10" s="36" t="s">
        <v>514</v>
      </c>
      <c r="B10" s="37" t="s">
        <v>515</v>
      </c>
      <c r="C10" s="39" t="s">
        <v>494</v>
      </c>
      <c r="D10" s="39" t="s">
        <v>495</v>
      </c>
      <c r="E10" s="46">
        <v>12000</v>
      </c>
      <c r="F10" s="46">
        <v>15500</v>
      </c>
      <c r="G10" s="47">
        <v>6</v>
      </c>
      <c r="H10" s="47">
        <v>3</v>
      </c>
      <c r="I10" s="47">
        <v>2</v>
      </c>
      <c r="J10" s="41">
        <f t="shared" si="0"/>
        <v>7</v>
      </c>
      <c r="K10" s="47">
        <v>2</v>
      </c>
      <c r="L10" s="42" t="str">
        <f>IF(J10&lt;=SETTINGS!$C$16,"LOW STOCK","OK")</f>
        <v>OK</v>
      </c>
      <c r="N10" s="9" t="s">
        <v>25</v>
      </c>
      <c r="O10" s="28" t="s">
        <v>31</v>
      </c>
      <c r="Q10" s="1" t="s">
        <v>818</v>
      </c>
    </row>
    <row r="11" spans="1:17" x14ac:dyDescent="0.25">
      <c r="A11" s="36" t="s">
        <v>516</v>
      </c>
      <c r="B11" s="37" t="s">
        <v>517</v>
      </c>
      <c r="C11" s="39" t="s">
        <v>498</v>
      </c>
      <c r="D11" s="39" t="s">
        <v>499</v>
      </c>
      <c r="E11" s="46">
        <v>150</v>
      </c>
      <c r="F11" s="46">
        <v>280</v>
      </c>
      <c r="G11" s="47">
        <v>50</v>
      </c>
      <c r="H11" s="47">
        <v>20</v>
      </c>
      <c r="I11" s="47">
        <v>30</v>
      </c>
      <c r="J11" s="41">
        <f t="shared" si="0"/>
        <v>40</v>
      </c>
      <c r="K11" s="47">
        <v>12</v>
      </c>
      <c r="L11" s="42" t="str">
        <f>IF(J11&lt;=SETTINGS!$C$16,"LOW STOCK","OK")</f>
        <v>OK</v>
      </c>
      <c r="N11" s="7"/>
      <c r="O11" s="8"/>
    </row>
    <row r="12" spans="1:17" x14ac:dyDescent="0.25">
      <c r="A12" s="36" t="s">
        <v>518</v>
      </c>
      <c r="B12" s="37" t="s">
        <v>519</v>
      </c>
      <c r="C12" s="39" t="s">
        <v>508</v>
      </c>
      <c r="D12" s="39" t="s">
        <v>509</v>
      </c>
      <c r="E12" s="46">
        <v>650</v>
      </c>
      <c r="F12" s="46">
        <v>999</v>
      </c>
      <c r="G12" s="47">
        <v>18</v>
      </c>
      <c r="H12" s="47">
        <v>7</v>
      </c>
      <c r="I12" s="47">
        <v>9</v>
      </c>
      <c r="J12" s="41">
        <f t="shared" si="0"/>
        <v>16</v>
      </c>
      <c r="K12" s="47">
        <v>6</v>
      </c>
      <c r="L12" s="42" t="str">
        <f>IF(J12&lt;=SETTINGS!$C$16,"LOW STOCK","OK")</f>
        <v>OK</v>
      </c>
      <c r="N12" s="9" t="s">
        <v>480</v>
      </c>
      <c r="O12" s="11" t="s">
        <v>922</v>
      </c>
    </row>
    <row r="13" spans="1:17" ht="15.75" thickBot="1" x14ac:dyDescent="0.3">
      <c r="A13" s="36" t="s">
        <v>520</v>
      </c>
      <c r="B13" s="37" t="s">
        <v>521</v>
      </c>
      <c r="C13" s="39" t="s">
        <v>494</v>
      </c>
      <c r="D13" s="39" t="s">
        <v>495</v>
      </c>
      <c r="E13" s="46">
        <v>1400</v>
      </c>
      <c r="F13" s="46">
        <v>1999</v>
      </c>
      <c r="G13" s="47">
        <v>14</v>
      </c>
      <c r="H13" s="47">
        <v>8</v>
      </c>
      <c r="I13" s="47">
        <v>11</v>
      </c>
      <c r="J13" s="41">
        <f t="shared" si="0"/>
        <v>11</v>
      </c>
      <c r="K13" s="47">
        <v>5</v>
      </c>
      <c r="L13" s="42" t="str">
        <f>IF(J13&lt;=SETTINGS!$C$16,"LOW STOCK","OK")</f>
        <v>OK</v>
      </c>
      <c r="N13" s="7"/>
      <c r="O13" s="8"/>
    </row>
    <row r="14" spans="1:17" x14ac:dyDescent="0.25">
      <c r="A14" s="36" t="s">
        <v>522</v>
      </c>
      <c r="B14" s="37" t="s">
        <v>523</v>
      </c>
      <c r="C14" s="39" t="s">
        <v>498</v>
      </c>
      <c r="D14" s="39" t="s">
        <v>499</v>
      </c>
      <c r="E14" s="46">
        <v>350</v>
      </c>
      <c r="F14" s="46">
        <v>550</v>
      </c>
      <c r="G14" s="47">
        <v>35</v>
      </c>
      <c r="H14" s="47">
        <v>15</v>
      </c>
      <c r="I14" s="47">
        <v>22</v>
      </c>
      <c r="J14" s="41">
        <f t="shared" si="0"/>
        <v>28</v>
      </c>
      <c r="K14" s="47">
        <v>10</v>
      </c>
      <c r="L14" s="42" t="str">
        <f>IF(J14&lt;=SETTINGS!$C$16,"LOW STOCK","OK")</f>
        <v>OK</v>
      </c>
      <c r="N14" s="138" t="s">
        <v>817</v>
      </c>
      <c r="O14" s="139"/>
    </row>
    <row r="15" spans="1:17" ht="15.75" thickBot="1" x14ac:dyDescent="0.3">
      <c r="A15" s="36" t="s">
        <v>524</v>
      </c>
      <c r="B15" s="37" t="s">
        <v>525</v>
      </c>
      <c r="C15" s="39" t="s">
        <v>508</v>
      </c>
      <c r="D15" s="39" t="s">
        <v>509</v>
      </c>
      <c r="E15" s="46">
        <v>7800</v>
      </c>
      <c r="F15" s="46">
        <v>9999</v>
      </c>
      <c r="G15" s="47">
        <v>5</v>
      </c>
      <c r="H15" s="47">
        <v>2</v>
      </c>
      <c r="I15" s="47">
        <v>1</v>
      </c>
      <c r="J15" s="41">
        <f t="shared" si="0"/>
        <v>6</v>
      </c>
      <c r="K15" s="47">
        <v>2</v>
      </c>
      <c r="L15" s="42" t="str">
        <f>IF(J15&lt;=SETTINGS!$C$16,"LOW STOCK","OK")</f>
        <v>OK</v>
      </c>
      <c r="N15" s="43"/>
      <c r="O15" s="43"/>
    </row>
    <row r="16" spans="1:17" ht="18.75" x14ac:dyDescent="0.25">
      <c r="A16" s="36" t="s">
        <v>526</v>
      </c>
      <c r="B16" s="37" t="s">
        <v>527</v>
      </c>
      <c r="C16" s="39" t="s">
        <v>512</v>
      </c>
      <c r="D16" s="39" t="s">
        <v>513</v>
      </c>
      <c r="E16" s="46">
        <v>80</v>
      </c>
      <c r="F16" s="46">
        <v>140</v>
      </c>
      <c r="G16" s="47">
        <v>60</v>
      </c>
      <c r="H16" s="47">
        <v>20</v>
      </c>
      <c r="I16" s="47">
        <v>40</v>
      </c>
      <c r="J16" s="41">
        <f t="shared" si="0"/>
        <v>40</v>
      </c>
      <c r="K16" s="47">
        <v>20</v>
      </c>
      <c r="L16" s="42" t="str">
        <f>IF(J16&lt;=SETTINGS!$C$16,"LOW STOCK","OK")</f>
        <v>OK</v>
      </c>
      <c r="N16" s="131" t="s">
        <v>819</v>
      </c>
      <c r="O16" s="137"/>
    </row>
    <row r="17" spans="1:15" x14ac:dyDescent="0.25">
      <c r="A17" s="36" t="s">
        <v>528</v>
      </c>
      <c r="B17" s="37" t="s">
        <v>529</v>
      </c>
      <c r="C17" s="39" t="s">
        <v>530</v>
      </c>
      <c r="D17" s="39" t="s">
        <v>531</v>
      </c>
      <c r="E17" s="46">
        <v>2200</v>
      </c>
      <c r="F17" s="46">
        <v>2999</v>
      </c>
      <c r="G17" s="47">
        <v>10</v>
      </c>
      <c r="H17" s="47">
        <v>5</v>
      </c>
      <c r="I17" s="47">
        <v>6</v>
      </c>
      <c r="J17" s="41">
        <f t="shared" si="0"/>
        <v>9</v>
      </c>
      <c r="K17" s="47">
        <v>4</v>
      </c>
      <c r="L17" s="42" t="str">
        <f>IF(J17&lt;=SETTINGS!$C$16,"LOW STOCK","OK")</f>
        <v>OK</v>
      </c>
      <c r="N17" s="9" t="s">
        <v>480</v>
      </c>
      <c r="O17" s="28" t="s">
        <v>492</v>
      </c>
    </row>
    <row r="18" spans="1:15" x14ac:dyDescent="0.25">
      <c r="A18" s="36" t="s">
        <v>532</v>
      </c>
      <c r="B18" s="37" t="s">
        <v>533</v>
      </c>
      <c r="C18" s="39" t="s">
        <v>498</v>
      </c>
      <c r="D18" s="39" t="s">
        <v>499</v>
      </c>
      <c r="E18" s="46">
        <v>700</v>
      </c>
      <c r="F18" s="46">
        <v>1199</v>
      </c>
      <c r="G18" s="47">
        <v>22</v>
      </c>
      <c r="H18" s="47">
        <v>8</v>
      </c>
      <c r="I18" s="47">
        <v>12</v>
      </c>
      <c r="J18" s="41">
        <f t="shared" si="0"/>
        <v>18</v>
      </c>
      <c r="K18" s="47">
        <v>6</v>
      </c>
      <c r="L18" s="42" t="str">
        <f>IF(J18&lt;=SETTINGS!$C$16,"LOW STOCK","OK")</f>
        <v>OK</v>
      </c>
      <c r="N18" s="9" t="s">
        <v>481</v>
      </c>
      <c r="O18" s="12" t="str">
        <f>IF($O$17="","",IFERROR(_xlfn.XLOOKUP($O$17,InventoryMaster[Product ID],InventoryMaster[Product Name]),"Not found"))</f>
        <v>Laptop</v>
      </c>
    </row>
    <row r="19" spans="1:15" x14ac:dyDescent="0.25">
      <c r="A19" s="36" t="s">
        <v>534</v>
      </c>
      <c r="B19" s="37" t="s">
        <v>535</v>
      </c>
      <c r="C19" s="39" t="s">
        <v>494</v>
      </c>
      <c r="D19" s="39" t="s">
        <v>495</v>
      </c>
      <c r="E19" s="46">
        <v>3200</v>
      </c>
      <c r="F19" s="46">
        <v>4299</v>
      </c>
      <c r="G19" s="47">
        <v>16</v>
      </c>
      <c r="H19" s="47">
        <v>10</v>
      </c>
      <c r="I19" s="47">
        <v>9</v>
      </c>
      <c r="J19" s="41">
        <f t="shared" si="0"/>
        <v>17</v>
      </c>
      <c r="K19" s="47">
        <v>5</v>
      </c>
      <c r="L19" s="42" t="str">
        <f>IF(J19&lt;=SETTINGS!$C$16,"LOW STOCK","OK")</f>
        <v>OK</v>
      </c>
      <c r="N19" s="9" t="s">
        <v>482</v>
      </c>
      <c r="O19" s="12" t="str">
        <f>IF($O$17="","",IFERROR(_xlfn.XLOOKUP($O$17,InventoryMaster[Product ID],InventoryMaster[Category]),"Not found"))</f>
        <v>Electronics</v>
      </c>
    </row>
    <row r="20" spans="1:15" x14ac:dyDescent="0.25">
      <c r="A20" s="36" t="s">
        <v>536</v>
      </c>
      <c r="B20" s="37" t="s">
        <v>537</v>
      </c>
      <c r="C20" s="39" t="s">
        <v>508</v>
      </c>
      <c r="D20" s="39" t="s">
        <v>509</v>
      </c>
      <c r="E20" s="46">
        <v>1800</v>
      </c>
      <c r="F20" s="46">
        <v>2499</v>
      </c>
      <c r="G20" s="47">
        <v>7</v>
      </c>
      <c r="H20" s="47">
        <v>3</v>
      </c>
      <c r="I20" s="47">
        <v>2</v>
      </c>
      <c r="J20" s="41">
        <f t="shared" si="0"/>
        <v>8</v>
      </c>
      <c r="K20" s="47">
        <v>3</v>
      </c>
      <c r="L20" s="42" t="str">
        <f>IF(J20&lt;=SETTINGS!$C$16,"LOW STOCK","OK")</f>
        <v>OK</v>
      </c>
      <c r="N20" s="9" t="s">
        <v>483</v>
      </c>
      <c r="O20" s="12" t="str">
        <f>IF($O$17="","",IFERROR(_xlfn.XLOOKUP($O$17,InventoryMaster[Product ID],InventoryMaster[Supplier]),"Not found"))</f>
        <v>ABC Ltd</v>
      </c>
    </row>
    <row r="21" spans="1:15" x14ac:dyDescent="0.25">
      <c r="A21" s="36" t="s">
        <v>538</v>
      </c>
      <c r="B21" s="37" t="s">
        <v>539</v>
      </c>
      <c r="C21" s="39" t="s">
        <v>512</v>
      </c>
      <c r="D21" s="39" t="s">
        <v>513</v>
      </c>
      <c r="E21" s="46">
        <v>900</v>
      </c>
      <c r="F21" s="46">
        <v>1350</v>
      </c>
      <c r="G21" s="47">
        <v>25</v>
      </c>
      <c r="H21" s="47">
        <v>10</v>
      </c>
      <c r="I21" s="47">
        <v>28</v>
      </c>
      <c r="J21" s="41">
        <f t="shared" si="0"/>
        <v>7</v>
      </c>
      <c r="K21" s="47">
        <v>8</v>
      </c>
      <c r="L21" s="42" t="str">
        <f>IF(J21&lt;=SETTINGS!$C$16,"LOW STOCK","OK")</f>
        <v>OK</v>
      </c>
      <c r="N21" s="9" t="s">
        <v>484</v>
      </c>
      <c r="O21" s="32">
        <f>IF($O$17="","",IFERROR(_xlfn.XLOOKUP($O$17,InventoryMaster[Product ID],InventoryMaster[Purchase Price]),"Not found"))</f>
        <v>40000</v>
      </c>
    </row>
    <row r="22" spans="1:15" x14ac:dyDescent="0.25">
      <c r="A22" s="36" t="s">
        <v>540</v>
      </c>
      <c r="B22" s="37" t="s">
        <v>541</v>
      </c>
      <c r="C22" s="39" t="s">
        <v>530</v>
      </c>
      <c r="D22" s="39" t="s">
        <v>531</v>
      </c>
      <c r="E22" s="46">
        <v>1600</v>
      </c>
      <c r="F22" s="46">
        <v>2199</v>
      </c>
      <c r="G22" s="47">
        <v>9</v>
      </c>
      <c r="H22" s="47">
        <v>4</v>
      </c>
      <c r="I22" s="47">
        <v>3</v>
      </c>
      <c r="J22" s="41">
        <f t="shared" si="0"/>
        <v>10</v>
      </c>
      <c r="K22" s="47">
        <v>3</v>
      </c>
      <c r="L22" s="42" t="str">
        <f>IF(J22&lt;=SETTINGS!$C$16,"LOW STOCK","OK")</f>
        <v>OK</v>
      </c>
      <c r="N22" s="9" t="s">
        <v>485</v>
      </c>
      <c r="O22" s="32">
        <f>IF($O$17="","",IFERROR(_xlfn.XLOOKUP($O$17,InventoryMaster[Product ID],InventoryMaster[Selling Price]),"Not found"))</f>
        <v>46000</v>
      </c>
    </row>
    <row r="23" spans="1:15" x14ac:dyDescent="0.25">
      <c r="A23" s="36" t="s">
        <v>542</v>
      </c>
      <c r="B23" s="37" t="s">
        <v>543</v>
      </c>
      <c r="C23" s="39" t="s">
        <v>498</v>
      </c>
      <c r="D23" s="39" t="s">
        <v>499</v>
      </c>
      <c r="E23" s="46">
        <v>850</v>
      </c>
      <c r="F23" s="46">
        <v>1299</v>
      </c>
      <c r="G23" s="47">
        <v>18</v>
      </c>
      <c r="H23" s="47">
        <v>12</v>
      </c>
      <c r="I23" s="47">
        <v>20</v>
      </c>
      <c r="J23" s="41">
        <f t="shared" si="0"/>
        <v>10</v>
      </c>
      <c r="K23" s="47">
        <v>6</v>
      </c>
      <c r="L23" s="42" t="str">
        <f>IF(J23&lt;=SETTINGS!$C$16,"LOW STOCK","OK")</f>
        <v>OK</v>
      </c>
      <c r="N23" s="9" t="s">
        <v>489</v>
      </c>
      <c r="O23" s="44">
        <f>IF($O$17="","",IFERROR(_xlfn.XLOOKUP($O$17,InventoryMaster[Product ID],InventoryMaster[Current Stock]),"Not found"))</f>
        <v>13</v>
      </c>
    </row>
    <row r="24" spans="1:15" ht="15.75" thickBot="1" x14ac:dyDescent="0.3">
      <c r="A24" s="36" t="s">
        <v>544</v>
      </c>
      <c r="B24" s="37" t="s">
        <v>545</v>
      </c>
      <c r="C24" s="39" t="s">
        <v>494</v>
      </c>
      <c r="D24" s="39" t="s">
        <v>495</v>
      </c>
      <c r="E24" s="46">
        <v>28000</v>
      </c>
      <c r="F24" s="46">
        <v>33500</v>
      </c>
      <c r="G24" s="47">
        <v>4</v>
      </c>
      <c r="H24" s="47">
        <v>2</v>
      </c>
      <c r="I24" s="47">
        <v>1</v>
      </c>
      <c r="J24" s="41">
        <f t="shared" si="0"/>
        <v>5</v>
      </c>
      <c r="K24" s="47">
        <v>2</v>
      </c>
      <c r="L24" s="42" t="str">
        <f>IF(J24&lt;=SETTINGS!$C$16,"LOW STOCK","OK")</f>
        <v>LOW STOCK</v>
      </c>
      <c r="N24" s="34" t="s">
        <v>491</v>
      </c>
      <c r="O24" s="35" t="str">
        <f>IF($O$17="","",IFERROR(_xlfn.XLOOKUP($O$17,InventoryMaster[Product ID],InventoryMaster[Stock Status]),"Not found"))</f>
        <v>OK</v>
      </c>
    </row>
    <row r="25" spans="1:15" ht="15.75" thickBot="1" x14ac:dyDescent="0.3">
      <c r="A25" s="36" t="s">
        <v>546</v>
      </c>
      <c r="B25" s="37" t="s">
        <v>547</v>
      </c>
      <c r="C25" s="39" t="s">
        <v>508</v>
      </c>
      <c r="D25" s="39" t="s">
        <v>509</v>
      </c>
      <c r="E25" s="46">
        <v>15000</v>
      </c>
      <c r="F25" s="46">
        <v>18999</v>
      </c>
      <c r="G25" s="47">
        <v>3</v>
      </c>
      <c r="H25" s="47">
        <v>1</v>
      </c>
      <c r="I25" s="47">
        <v>0</v>
      </c>
      <c r="J25" s="41">
        <f t="shared" si="0"/>
        <v>4</v>
      </c>
      <c r="K25" s="47">
        <v>1</v>
      </c>
      <c r="L25" s="42" t="str">
        <f>IF(J25&lt;=SETTINGS!$C$16,"LOW STOCK","OK")</f>
        <v>LOW STOCK</v>
      </c>
    </row>
    <row r="26" spans="1:15" ht="18.75" x14ac:dyDescent="0.25">
      <c r="A26" s="36" t="s">
        <v>548</v>
      </c>
      <c r="B26" s="37" t="s">
        <v>549</v>
      </c>
      <c r="C26" s="39" t="s">
        <v>512</v>
      </c>
      <c r="D26" s="39" t="s">
        <v>513</v>
      </c>
      <c r="E26" s="46">
        <v>60</v>
      </c>
      <c r="F26" s="46">
        <v>110</v>
      </c>
      <c r="G26" s="47">
        <v>80</v>
      </c>
      <c r="H26" s="47">
        <v>30</v>
      </c>
      <c r="I26" s="47">
        <v>70</v>
      </c>
      <c r="J26" s="41">
        <f t="shared" si="0"/>
        <v>40</v>
      </c>
      <c r="K26" s="47">
        <v>25</v>
      </c>
      <c r="L26" s="42" t="str">
        <f>IF(J26&lt;=SETTINGS!$C$16,"LOW STOCK","OK")</f>
        <v>OK</v>
      </c>
      <c r="N26" s="131" t="s">
        <v>822</v>
      </c>
      <c r="O26" s="137"/>
    </row>
    <row r="27" spans="1:15" x14ac:dyDescent="0.25">
      <c r="A27" s="36" t="s">
        <v>550</v>
      </c>
      <c r="B27" s="37" t="s">
        <v>551</v>
      </c>
      <c r="C27" s="39" t="s">
        <v>530</v>
      </c>
      <c r="D27" s="39" t="s">
        <v>531</v>
      </c>
      <c r="E27" s="46">
        <v>90</v>
      </c>
      <c r="F27" s="46">
        <v>160</v>
      </c>
      <c r="G27" s="47">
        <v>100</v>
      </c>
      <c r="H27" s="47">
        <v>40</v>
      </c>
      <c r="I27" s="47">
        <v>55</v>
      </c>
      <c r="J27" s="41">
        <f t="shared" si="0"/>
        <v>85</v>
      </c>
      <c r="K27" s="47">
        <v>30</v>
      </c>
      <c r="L27" s="42" t="str">
        <f>IF(J27&lt;=SETTINGS!$C$16,"LOW STOCK","OK")</f>
        <v>OK</v>
      </c>
      <c r="N27" s="7"/>
      <c r="O27" s="8"/>
    </row>
    <row r="28" spans="1:15" x14ac:dyDescent="0.25">
      <c r="A28" s="36" t="s">
        <v>552</v>
      </c>
      <c r="B28" s="37" t="s">
        <v>553</v>
      </c>
      <c r="C28" s="39" t="s">
        <v>498</v>
      </c>
      <c r="D28" s="39" t="s">
        <v>499</v>
      </c>
      <c r="E28" s="46">
        <v>1100</v>
      </c>
      <c r="F28" s="46">
        <v>1699</v>
      </c>
      <c r="G28" s="47">
        <v>20</v>
      </c>
      <c r="H28" s="47">
        <v>8</v>
      </c>
      <c r="I28" s="47">
        <v>14</v>
      </c>
      <c r="J28" s="41">
        <f t="shared" si="0"/>
        <v>14</v>
      </c>
      <c r="K28" s="47">
        <v>6</v>
      </c>
      <c r="L28" s="42" t="str">
        <f>IF(J28&lt;=SETTINGS!$C$16,"LOW STOCK","OK")</f>
        <v>OK</v>
      </c>
      <c r="N28" s="9" t="s">
        <v>480</v>
      </c>
      <c r="O28" s="10" t="s">
        <v>823</v>
      </c>
    </row>
    <row r="29" spans="1:15" x14ac:dyDescent="0.25">
      <c r="A29" s="36" t="s">
        <v>554</v>
      </c>
      <c r="B29" s="37" t="s">
        <v>555</v>
      </c>
      <c r="C29" s="39" t="s">
        <v>494</v>
      </c>
      <c r="D29" s="39" t="s">
        <v>495</v>
      </c>
      <c r="E29" s="46">
        <v>2400</v>
      </c>
      <c r="F29" s="46">
        <v>3299</v>
      </c>
      <c r="G29" s="47">
        <v>11</v>
      </c>
      <c r="H29" s="47">
        <v>5</v>
      </c>
      <c r="I29" s="47">
        <v>4</v>
      </c>
      <c r="J29" s="41">
        <f t="shared" si="0"/>
        <v>12</v>
      </c>
      <c r="K29" s="47">
        <v>4</v>
      </c>
      <c r="L29" s="42" t="str">
        <f>IF(J29&lt;=SETTINGS!$C$16,"LOW STOCK","OK")</f>
        <v>OK</v>
      </c>
      <c r="N29" s="9" t="s">
        <v>481</v>
      </c>
      <c r="O29" s="12" t="s">
        <v>601</v>
      </c>
    </row>
    <row r="30" spans="1:15" x14ac:dyDescent="0.25">
      <c r="A30" s="36" t="s">
        <v>556</v>
      </c>
      <c r="B30" s="37" t="s">
        <v>557</v>
      </c>
      <c r="C30" s="39" t="s">
        <v>508</v>
      </c>
      <c r="D30" s="39" t="s">
        <v>509</v>
      </c>
      <c r="E30" s="46">
        <v>2100</v>
      </c>
      <c r="F30" s="46">
        <v>2999</v>
      </c>
      <c r="G30" s="47">
        <v>12</v>
      </c>
      <c r="H30" s="47">
        <v>6</v>
      </c>
      <c r="I30" s="47">
        <v>5</v>
      </c>
      <c r="J30" s="41">
        <f t="shared" si="0"/>
        <v>13</v>
      </c>
      <c r="K30" s="47">
        <v>4</v>
      </c>
      <c r="L30" s="42" t="str">
        <f>IF(J30&lt;=SETTINGS!$C$16,"LOW STOCK","OK")</f>
        <v>OK</v>
      </c>
      <c r="N30" s="9" t="s">
        <v>482</v>
      </c>
      <c r="O30" s="12" t="s">
        <v>530</v>
      </c>
    </row>
    <row r="31" spans="1:15" x14ac:dyDescent="0.25">
      <c r="A31" s="36" t="s">
        <v>558</v>
      </c>
      <c r="B31" s="37" t="s">
        <v>559</v>
      </c>
      <c r="C31" s="39" t="s">
        <v>512</v>
      </c>
      <c r="D31" s="39" t="s">
        <v>513</v>
      </c>
      <c r="E31" s="46">
        <v>40</v>
      </c>
      <c r="F31" s="46">
        <v>75</v>
      </c>
      <c r="G31" s="47">
        <v>90</v>
      </c>
      <c r="H31" s="47">
        <v>40</v>
      </c>
      <c r="I31" s="47">
        <v>60</v>
      </c>
      <c r="J31" s="41">
        <f t="shared" si="0"/>
        <v>70</v>
      </c>
      <c r="K31" s="47">
        <v>30</v>
      </c>
      <c r="L31" s="42" t="str">
        <f>IF(J31&lt;=SETTINGS!$C$16,"LOW STOCK","OK")</f>
        <v>OK</v>
      </c>
      <c r="N31" s="9" t="s">
        <v>483</v>
      </c>
      <c r="O31" s="12" t="s">
        <v>531</v>
      </c>
    </row>
    <row r="32" spans="1:15" x14ac:dyDescent="0.25">
      <c r="A32" s="36" t="s">
        <v>560</v>
      </c>
      <c r="B32" s="37" t="s">
        <v>561</v>
      </c>
      <c r="C32" s="39" t="s">
        <v>530</v>
      </c>
      <c r="D32" s="39" t="s">
        <v>531</v>
      </c>
      <c r="E32" s="46">
        <v>450</v>
      </c>
      <c r="F32" s="46">
        <v>699</v>
      </c>
      <c r="G32" s="47">
        <v>16</v>
      </c>
      <c r="H32" s="47">
        <v>8</v>
      </c>
      <c r="I32" s="47">
        <v>15</v>
      </c>
      <c r="J32" s="41">
        <f t="shared" si="0"/>
        <v>9</v>
      </c>
      <c r="K32" s="47">
        <v>6</v>
      </c>
      <c r="L32" s="42" t="str">
        <f>IF(J32&lt;=SETTINGS!$C$16,"LOW STOCK","OK")</f>
        <v>OK</v>
      </c>
      <c r="N32" s="9" t="s">
        <v>484</v>
      </c>
      <c r="O32" s="32">
        <v>950</v>
      </c>
    </row>
    <row r="33" spans="1:15" x14ac:dyDescent="0.25">
      <c r="A33" s="36" t="s">
        <v>562</v>
      </c>
      <c r="B33" s="37" t="s">
        <v>563</v>
      </c>
      <c r="C33" s="39" t="s">
        <v>498</v>
      </c>
      <c r="D33" s="39" t="s">
        <v>499</v>
      </c>
      <c r="E33" s="46">
        <v>400</v>
      </c>
      <c r="F33" s="46">
        <v>699</v>
      </c>
      <c r="G33" s="47">
        <v>24</v>
      </c>
      <c r="H33" s="47">
        <v>10</v>
      </c>
      <c r="I33" s="47">
        <v>8</v>
      </c>
      <c r="J33" s="41">
        <f t="shared" si="0"/>
        <v>26</v>
      </c>
      <c r="K33" s="47">
        <v>6</v>
      </c>
      <c r="L33" s="42" t="str">
        <f>IF(J33&lt;=SETTINGS!$C$16,"LOW STOCK","OK")</f>
        <v>OK</v>
      </c>
      <c r="N33" s="9" t="s">
        <v>485</v>
      </c>
      <c r="O33" s="32">
        <v>1399</v>
      </c>
    </row>
    <row r="34" spans="1:15" x14ac:dyDescent="0.25">
      <c r="A34" s="36" t="s">
        <v>564</v>
      </c>
      <c r="B34" s="37" t="s">
        <v>565</v>
      </c>
      <c r="C34" s="39" t="s">
        <v>494</v>
      </c>
      <c r="D34" s="39" t="s">
        <v>495</v>
      </c>
      <c r="E34" s="46">
        <v>14000</v>
      </c>
      <c r="F34" s="46">
        <v>16999</v>
      </c>
      <c r="G34" s="47">
        <v>7</v>
      </c>
      <c r="H34" s="47">
        <v>3</v>
      </c>
      <c r="I34" s="47">
        <v>5</v>
      </c>
      <c r="J34" s="41">
        <f t="shared" si="0"/>
        <v>5</v>
      </c>
      <c r="K34" s="47">
        <v>3</v>
      </c>
      <c r="L34" s="42" t="str">
        <f>IF(J34&lt;=SETTINGS!$C$16,"LOW STOCK","OK")</f>
        <v>LOW STOCK</v>
      </c>
      <c r="N34" s="9" t="s">
        <v>489</v>
      </c>
      <c r="O34" s="44">
        <v>3</v>
      </c>
    </row>
    <row r="35" spans="1:15" x14ac:dyDescent="0.25">
      <c r="A35" s="36" t="s">
        <v>566</v>
      </c>
      <c r="B35" s="37" t="s">
        <v>567</v>
      </c>
      <c r="C35" s="39" t="s">
        <v>508</v>
      </c>
      <c r="D35" s="39" t="s">
        <v>509</v>
      </c>
      <c r="E35" s="46">
        <v>3500</v>
      </c>
      <c r="F35" s="46">
        <v>4799</v>
      </c>
      <c r="G35" s="47">
        <v>6</v>
      </c>
      <c r="H35" s="47">
        <v>2</v>
      </c>
      <c r="I35" s="47">
        <v>1</v>
      </c>
      <c r="J35" s="41">
        <f t="shared" ref="J35:J54" si="1">G35+H35-I35</f>
        <v>7</v>
      </c>
      <c r="K35" s="47">
        <v>2</v>
      </c>
      <c r="L35" s="42" t="str">
        <f>IF(J35&lt;=SETTINGS!$C$16,"LOW STOCK","OK")</f>
        <v>OK</v>
      </c>
      <c r="N35" s="9" t="s">
        <v>491</v>
      </c>
      <c r="O35" s="11" t="s">
        <v>818</v>
      </c>
    </row>
    <row r="36" spans="1:15" ht="15.75" thickBot="1" x14ac:dyDescent="0.3">
      <c r="A36" s="36" t="s">
        <v>568</v>
      </c>
      <c r="B36" s="37" t="s">
        <v>569</v>
      </c>
      <c r="C36" s="39" t="s">
        <v>512</v>
      </c>
      <c r="D36" s="39" t="s">
        <v>513</v>
      </c>
      <c r="E36" s="46">
        <v>2100</v>
      </c>
      <c r="F36" s="46">
        <v>2899</v>
      </c>
      <c r="G36" s="47">
        <v>12</v>
      </c>
      <c r="H36" s="47">
        <v>6</v>
      </c>
      <c r="I36" s="47">
        <v>16</v>
      </c>
      <c r="J36" s="41">
        <f t="shared" si="1"/>
        <v>2</v>
      </c>
      <c r="K36" s="47">
        <v>5</v>
      </c>
      <c r="L36" s="42" t="str">
        <f>IF(J36&lt;=SETTINGS!$C$16,"LOW STOCK","OK")</f>
        <v>LOW STOCK</v>
      </c>
      <c r="N36" s="7"/>
      <c r="O36" s="8"/>
    </row>
    <row r="37" spans="1:15" ht="15.75" thickBot="1" x14ac:dyDescent="0.3">
      <c r="A37" s="36" t="s">
        <v>570</v>
      </c>
      <c r="B37" s="37" t="s">
        <v>571</v>
      </c>
      <c r="C37" s="39" t="s">
        <v>530</v>
      </c>
      <c r="D37" s="39" t="s">
        <v>531</v>
      </c>
      <c r="E37" s="46">
        <v>3800</v>
      </c>
      <c r="F37" s="46">
        <v>4999</v>
      </c>
      <c r="G37" s="47">
        <v>8</v>
      </c>
      <c r="H37" s="47">
        <v>3</v>
      </c>
      <c r="I37" s="47">
        <v>2</v>
      </c>
      <c r="J37" s="41">
        <f t="shared" si="1"/>
        <v>9</v>
      </c>
      <c r="K37" s="47">
        <v>3</v>
      </c>
      <c r="L37" s="42" t="str">
        <f>IF(J37&lt;=SETTINGS!$C$16,"LOW STOCK","OK")</f>
        <v>OK</v>
      </c>
      <c r="N37" s="138" t="s">
        <v>814</v>
      </c>
      <c r="O37" s="139"/>
    </row>
    <row r="38" spans="1:15" ht="18.75" x14ac:dyDescent="0.25">
      <c r="A38" s="36" t="s">
        <v>572</v>
      </c>
      <c r="B38" s="37" t="s">
        <v>573</v>
      </c>
      <c r="C38" s="39" t="s">
        <v>498</v>
      </c>
      <c r="D38" s="39" t="s">
        <v>499</v>
      </c>
      <c r="E38" s="46">
        <v>550</v>
      </c>
      <c r="F38" s="46">
        <v>899</v>
      </c>
      <c r="G38" s="47">
        <v>20</v>
      </c>
      <c r="H38" s="47">
        <v>10</v>
      </c>
      <c r="I38" s="47">
        <v>11</v>
      </c>
      <c r="J38" s="41">
        <f t="shared" si="1"/>
        <v>19</v>
      </c>
      <c r="K38" s="47">
        <v>6</v>
      </c>
      <c r="L38" s="42" t="str">
        <f>IF(J38&lt;=SETTINGS!$C$16,"LOW STOCK","OK")</f>
        <v>OK</v>
      </c>
      <c r="N38" s="131" t="s">
        <v>923</v>
      </c>
      <c r="O38" s="137"/>
    </row>
    <row r="39" spans="1:15" x14ac:dyDescent="0.25">
      <c r="A39" s="36" t="s">
        <v>574</v>
      </c>
      <c r="B39" s="37" t="s">
        <v>575</v>
      </c>
      <c r="C39" s="39" t="s">
        <v>494</v>
      </c>
      <c r="D39" s="39" t="s">
        <v>495</v>
      </c>
      <c r="E39" s="46">
        <v>4500</v>
      </c>
      <c r="F39" s="46">
        <v>5999</v>
      </c>
      <c r="G39" s="47">
        <v>5</v>
      </c>
      <c r="H39" s="47">
        <v>2</v>
      </c>
      <c r="I39" s="47">
        <v>3</v>
      </c>
      <c r="J39" s="41">
        <f t="shared" si="1"/>
        <v>4</v>
      </c>
      <c r="K39" s="47">
        <v>2</v>
      </c>
      <c r="L39" s="42" t="str">
        <f>IF(J39&lt;=SETTINGS!$C$16,"LOW STOCK","OK")</f>
        <v>LOW STOCK</v>
      </c>
      <c r="N39" s="7"/>
      <c r="O39" s="8"/>
    </row>
    <row r="40" spans="1:15" x14ac:dyDescent="0.25">
      <c r="A40" s="36" t="s">
        <v>576</v>
      </c>
      <c r="B40" s="37" t="s">
        <v>577</v>
      </c>
      <c r="C40" s="39" t="s">
        <v>508</v>
      </c>
      <c r="D40" s="39" t="s">
        <v>509</v>
      </c>
      <c r="E40" s="46">
        <v>5200</v>
      </c>
      <c r="F40" s="46">
        <v>6999</v>
      </c>
      <c r="G40" s="47">
        <v>4</v>
      </c>
      <c r="H40" s="47">
        <v>2</v>
      </c>
      <c r="I40" s="47">
        <v>1</v>
      </c>
      <c r="J40" s="41">
        <f t="shared" si="1"/>
        <v>5</v>
      </c>
      <c r="K40" s="47">
        <v>2</v>
      </c>
      <c r="L40" s="42" t="str">
        <f>IF(J40&lt;=SETTINGS!$C$16,"LOW STOCK","OK")</f>
        <v>LOW STOCK</v>
      </c>
      <c r="N40" s="9" t="s">
        <v>480</v>
      </c>
      <c r="O40" s="28"/>
    </row>
    <row r="41" spans="1:15" x14ac:dyDescent="0.25">
      <c r="A41" s="36" t="s">
        <v>578</v>
      </c>
      <c r="B41" s="37" t="s">
        <v>579</v>
      </c>
      <c r="C41" s="39" t="s">
        <v>512</v>
      </c>
      <c r="D41" s="39" t="s">
        <v>513</v>
      </c>
      <c r="E41" s="46">
        <v>120</v>
      </c>
      <c r="F41" s="46">
        <v>190</v>
      </c>
      <c r="G41" s="47">
        <v>50</v>
      </c>
      <c r="H41" s="47">
        <v>20</v>
      </c>
      <c r="I41" s="47">
        <v>45</v>
      </c>
      <c r="J41" s="41">
        <f t="shared" si="1"/>
        <v>25</v>
      </c>
      <c r="K41" s="47">
        <v>15</v>
      </c>
      <c r="L41" s="42" t="str">
        <f>IF(J41&lt;=SETTINGS!$C$16,"LOW STOCK","OK")</f>
        <v>OK</v>
      </c>
      <c r="N41" s="9" t="s">
        <v>481</v>
      </c>
      <c r="O41" s="51" t="str">
        <f>IF($O$40="","",IFERROR(_xlfn.XLOOKUP($O$40,InventoryMaster[Product ID],InventoryMaster[Product Name]),"Not found"))</f>
        <v/>
      </c>
    </row>
    <row r="42" spans="1:15" x14ac:dyDescent="0.25">
      <c r="A42" s="36" t="s">
        <v>580</v>
      </c>
      <c r="B42" s="37" t="s">
        <v>581</v>
      </c>
      <c r="C42" s="39" t="s">
        <v>530</v>
      </c>
      <c r="D42" s="39" t="s">
        <v>531</v>
      </c>
      <c r="E42" s="46">
        <v>2600</v>
      </c>
      <c r="F42" s="46">
        <v>3499</v>
      </c>
      <c r="G42" s="47">
        <v>6</v>
      </c>
      <c r="H42" s="47">
        <v>2</v>
      </c>
      <c r="I42" s="47">
        <v>1</v>
      </c>
      <c r="J42" s="41">
        <f t="shared" si="1"/>
        <v>7</v>
      </c>
      <c r="K42" s="47">
        <v>2</v>
      </c>
      <c r="L42" s="42" t="str">
        <f>IF(J42&lt;=SETTINGS!$C$16,"LOW STOCK","OK")</f>
        <v>OK</v>
      </c>
      <c r="N42" s="9" t="s">
        <v>924</v>
      </c>
      <c r="O42" s="52"/>
    </row>
    <row r="43" spans="1:15" x14ac:dyDescent="0.25">
      <c r="A43" s="36" t="s">
        <v>582</v>
      </c>
      <c r="B43" s="37" t="s">
        <v>583</v>
      </c>
      <c r="C43" s="39" t="s">
        <v>498</v>
      </c>
      <c r="D43" s="39" t="s">
        <v>499</v>
      </c>
      <c r="E43" s="46">
        <v>980</v>
      </c>
      <c r="F43" s="46">
        <v>1499</v>
      </c>
      <c r="G43" s="47">
        <v>15</v>
      </c>
      <c r="H43" s="47">
        <v>7</v>
      </c>
      <c r="I43" s="47">
        <v>16</v>
      </c>
      <c r="J43" s="41">
        <f t="shared" si="1"/>
        <v>6</v>
      </c>
      <c r="K43" s="47">
        <v>5</v>
      </c>
      <c r="L43" s="42" t="str">
        <f>IF(J43&lt;=SETTINGS!$C$16,"LOW STOCK","OK")</f>
        <v>OK</v>
      </c>
      <c r="N43" s="9" t="s">
        <v>483</v>
      </c>
      <c r="O43" s="12" t="str">
        <f>IF($O$40="","",IFERROR(_xlfn.XLOOKUP($O$40,InventoryMaster[Product ID],InventoryMaster[Supplier]),"Not found"))</f>
        <v/>
      </c>
    </row>
    <row r="44" spans="1:15" x14ac:dyDescent="0.25">
      <c r="A44" s="36" t="s">
        <v>584</v>
      </c>
      <c r="B44" s="37" t="s">
        <v>585</v>
      </c>
      <c r="C44" s="39" t="s">
        <v>494</v>
      </c>
      <c r="D44" s="39" t="s">
        <v>495</v>
      </c>
      <c r="E44" s="46">
        <v>3600</v>
      </c>
      <c r="F44" s="46">
        <v>4799</v>
      </c>
      <c r="G44" s="47">
        <v>13</v>
      </c>
      <c r="H44" s="47">
        <v>6</v>
      </c>
      <c r="I44" s="47">
        <v>7</v>
      </c>
      <c r="J44" s="41">
        <f t="shared" si="1"/>
        <v>12</v>
      </c>
      <c r="K44" s="47">
        <v>4</v>
      </c>
      <c r="L44" s="42" t="str">
        <f>IF(J44&lt;=SETTINGS!$C$16,"LOW STOCK","OK")</f>
        <v>OK</v>
      </c>
      <c r="N44" s="9" t="s">
        <v>484</v>
      </c>
      <c r="O44" s="45" t="str">
        <f>IF($O$40="","",IFERROR(_xlfn.XLOOKUP($O$40,InventoryMaster[Product ID],InventoryMaster[Purchase Price]),"Not found"))</f>
        <v/>
      </c>
    </row>
    <row r="45" spans="1:15" ht="15.75" thickBot="1" x14ac:dyDescent="0.3">
      <c r="A45" s="36" t="s">
        <v>586</v>
      </c>
      <c r="B45" s="37" t="s">
        <v>587</v>
      </c>
      <c r="C45" s="39" t="s">
        <v>508</v>
      </c>
      <c r="D45" s="39" t="s">
        <v>509</v>
      </c>
      <c r="E45" s="46">
        <v>9800</v>
      </c>
      <c r="F45" s="46">
        <v>12999</v>
      </c>
      <c r="G45" s="47">
        <v>2</v>
      </c>
      <c r="H45" s="47">
        <v>1</v>
      </c>
      <c r="I45" s="47">
        <v>0</v>
      </c>
      <c r="J45" s="41">
        <f t="shared" si="1"/>
        <v>3</v>
      </c>
      <c r="K45" s="47">
        <v>1</v>
      </c>
      <c r="L45" s="42" t="str">
        <f>IF(J45&lt;=SETTINGS!$C$16,"LOW STOCK","OK")</f>
        <v>LOW STOCK</v>
      </c>
      <c r="N45" s="7"/>
      <c r="O45" s="8"/>
    </row>
    <row r="46" spans="1:15" ht="15.75" thickBot="1" x14ac:dyDescent="0.3">
      <c r="A46" s="36" t="s">
        <v>588</v>
      </c>
      <c r="B46" s="37" t="s">
        <v>589</v>
      </c>
      <c r="C46" s="39" t="s">
        <v>512</v>
      </c>
      <c r="D46" s="39" t="s">
        <v>513</v>
      </c>
      <c r="E46" s="46">
        <v>70</v>
      </c>
      <c r="F46" s="46">
        <v>120</v>
      </c>
      <c r="G46" s="47">
        <v>45</v>
      </c>
      <c r="H46" s="47">
        <v>15</v>
      </c>
      <c r="I46" s="47">
        <v>20</v>
      </c>
      <c r="J46" s="41">
        <f t="shared" si="1"/>
        <v>40</v>
      </c>
      <c r="K46" s="47">
        <v>12</v>
      </c>
      <c r="L46" s="42" t="str">
        <f>IF(J46&lt;=SETTINGS!$C$16,"LOW STOCK","OK")</f>
        <v>OK</v>
      </c>
      <c r="N46" s="133" t="s">
        <v>925</v>
      </c>
      <c r="O46" s="134"/>
    </row>
    <row r="47" spans="1:15" x14ac:dyDescent="0.25">
      <c r="A47" s="36" t="s">
        <v>590</v>
      </c>
      <c r="B47" s="37" t="s">
        <v>591</v>
      </c>
      <c r="C47" s="39" t="s">
        <v>530</v>
      </c>
      <c r="D47" s="39" t="s">
        <v>531</v>
      </c>
      <c r="E47" s="46">
        <v>7200</v>
      </c>
      <c r="F47" s="46">
        <v>9499</v>
      </c>
      <c r="G47" s="47">
        <v>3</v>
      </c>
      <c r="H47" s="47">
        <v>1</v>
      </c>
      <c r="I47" s="47">
        <v>1</v>
      </c>
      <c r="J47" s="41">
        <f t="shared" si="1"/>
        <v>3</v>
      </c>
      <c r="K47" s="47">
        <v>1</v>
      </c>
      <c r="L47" s="42" t="str">
        <f>IF(J47&lt;=SETTINGS!$C$16,"LOW STOCK","OK")</f>
        <v>LOW STOCK</v>
      </c>
    </row>
    <row r="48" spans="1:15" x14ac:dyDescent="0.25">
      <c r="A48" s="36" t="s">
        <v>592</v>
      </c>
      <c r="B48" s="37" t="s">
        <v>593</v>
      </c>
      <c r="C48" s="39" t="s">
        <v>498</v>
      </c>
      <c r="D48" s="39" t="s">
        <v>499</v>
      </c>
      <c r="E48" s="46">
        <v>280</v>
      </c>
      <c r="F48" s="46">
        <v>449</v>
      </c>
      <c r="G48" s="47">
        <v>22</v>
      </c>
      <c r="H48" s="47">
        <v>8</v>
      </c>
      <c r="I48" s="47">
        <v>9</v>
      </c>
      <c r="J48" s="41">
        <f t="shared" si="1"/>
        <v>21</v>
      </c>
      <c r="K48" s="47">
        <v>6</v>
      </c>
      <c r="L48" s="42" t="str">
        <f>IF(J48&lt;=SETTINGS!$C$16,"LOW STOCK","OK")</f>
        <v>OK</v>
      </c>
    </row>
    <row r="49" spans="1:12" x14ac:dyDescent="0.25">
      <c r="A49" s="36" t="s">
        <v>594</v>
      </c>
      <c r="B49" s="37" t="s">
        <v>595</v>
      </c>
      <c r="C49" s="39" t="s">
        <v>494</v>
      </c>
      <c r="D49" s="39" t="s">
        <v>495</v>
      </c>
      <c r="E49" s="46">
        <v>22000</v>
      </c>
      <c r="F49" s="46">
        <v>27500</v>
      </c>
      <c r="G49" s="47">
        <v>3</v>
      </c>
      <c r="H49" s="47">
        <v>1</v>
      </c>
      <c r="I49" s="47">
        <v>2</v>
      </c>
      <c r="J49" s="41">
        <f t="shared" si="1"/>
        <v>2</v>
      </c>
      <c r="K49" s="47">
        <v>1</v>
      </c>
      <c r="L49" s="42" t="str">
        <f>IF(J49&lt;=SETTINGS!$C$16,"LOW STOCK","OK")</f>
        <v>LOW STOCK</v>
      </c>
    </row>
    <row r="50" spans="1:12" x14ac:dyDescent="0.25">
      <c r="A50" s="36" t="s">
        <v>596</v>
      </c>
      <c r="B50" s="37" t="s">
        <v>597</v>
      </c>
      <c r="C50" s="39" t="s">
        <v>508</v>
      </c>
      <c r="D50" s="39" t="s">
        <v>509</v>
      </c>
      <c r="E50" s="46">
        <v>1600</v>
      </c>
      <c r="F50" s="46">
        <v>2299</v>
      </c>
      <c r="G50" s="47">
        <v>9</v>
      </c>
      <c r="H50" s="47">
        <v>4</v>
      </c>
      <c r="I50" s="47">
        <v>3</v>
      </c>
      <c r="J50" s="41">
        <f t="shared" si="1"/>
        <v>10</v>
      </c>
      <c r="K50" s="47">
        <v>3</v>
      </c>
      <c r="L50" s="42" t="str">
        <f>IF(J50&lt;=SETTINGS!$C$16,"LOW STOCK","OK")</f>
        <v>OK</v>
      </c>
    </row>
    <row r="51" spans="1:12" x14ac:dyDescent="0.25">
      <c r="A51" s="36" t="s">
        <v>598</v>
      </c>
      <c r="B51" s="37" t="s">
        <v>599</v>
      </c>
      <c r="C51" s="39" t="s">
        <v>512</v>
      </c>
      <c r="D51" s="39" t="s">
        <v>513</v>
      </c>
      <c r="E51" s="46">
        <v>150</v>
      </c>
      <c r="F51" s="46">
        <v>250</v>
      </c>
      <c r="G51" s="47">
        <v>28</v>
      </c>
      <c r="H51" s="47">
        <v>10</v>
      </c>
      <c r="I51" s="47">
        <v>8</v>
      </c>
      <c r="J51" s="41">
        <f t="shared" si="1"/>
        <v>30</v>
      </c>
      <c r="K51" s="47">
        <v>8</v>
      </c>
      <c r="L51" s="42" t="str">
        <f>IF(J51&lt;=SETTINGS!$C$16,"LOW STOCK","OK")</f>
        <v>OK</v>
      </c>
    </row>
    <row r="52" spans="1:12" x14ac:dyDescent="0.25">
      <c r="A52" s="36" t="s">
        <v>600</v>
      </c>
      <c r="B52" s="37" t="s">
        <v>601</v>
      </c>
      <c r="C52" s="39" t="s">
        <v>530</v>
      </c>
      <c r="D52" s="39" t="s">
        <v>531</v>
      </c>
      <c r="E52" s="46">
        <v>950</v>
      </c>
      <c r="F52" s="46">
        <v>1399</v>
      </c>
      <c r="G52" s="47">
        <v>10</v>
      </c>
      <c r="H52" s="47">
        <v>5</v>
      </c>
      <c r="I52" s="47">
        <v>12</v>
      </c>
      <c r="J52" s="41">
        <f t="shared" si="1"/>
        <v>3</v>
      </c>
      <c r="K52" s="47">
        <v>4</v>
      </c>
      <c r="L52" s="42" t="str">
        <f>IF(J52&lt;=SETTINGS!$C$16,"LOW STOCK","OK")</f>
        <v>LOW STOCK</v>
      </c>
    </row>
    <row r="53" spans="1:12" x14ac:dyDescent="0.25">
      <c r="A53" s="36" t="s">
        <v>821</v>
      </c>
      <c r="B53" s="37" t="s">
        <v>820</v>
      </c>
      <c r="C53" s="39" t="s">
        <v>512</v>
      </c>
      <c r="D53" s="39" t="s">
        <v>499</v>
      </c>
      <c r="E53" s="46">
        <v>2000</v>
      </c>
      <c r="F53" s="46">
        <v>3000</v>
      </c>
      <c r="G53" s="47">
        <v>50</v>
      </c>
      <c r="H53" s="47">
        <v>10</v>
      </c>
      <c r="I53" s="47">
        <v>0</v>
      </c>
      <c r="J53" s="41">
        <f t="shared" si="1"/>
        <v>60</v>
      </c>
      <c r="K53" s="47">
        <v>3</v>
      </c>
      <c r="L53" s="42" t="str">
        <f>IF(J53&lt;=SETTINGS!$C$16,"LOW STOCK","OK")</f>
        <v>OK</v>
      </c>
    </row>
    <row r="54" spans="1:12" x14ac:dyDescent="0.25">
      <c r="A54" s="36" t="s">
        <v>824</v>
      </c>
      <c r="B54" s="37" t="s">
        <v>921</v>
      </c>
      <c r="C54" s="39" t="s">
        <v>512</v>
      </c>
      <c r="D54" s="39" t="s">
        <v>499</v>
      </c>
      <c r="E54" s="46">
        <v>600</v>
      </c>
      <c r="F54" s="46">
        <v>1000</v>
      </c>
      <c r="G54" s="47">
        <v>3</v>
      </c>
      <c r="H54" s="47">
        <v>10</v>
      </c>
      <c r="I54" s="47">
        <v>0</v>
      </c>
      <c r="J54" s="41">
        <f t="shared" si="1"/>
        <v>13</v>
      </c>
      <c r="K54" s="47">
        <v>3</v>
      </c>
      <c r="L54" s="42" t="str">
        <f>IF(J54&lt;=SETTINGS!$C$16,"LOW STOCK","OK")</f>
        <v>OK</v>
      </c>
    </row>
    <row r="55" spans="1:12" x14ac:dyDescent="0.25">
      <c r="A55" s="20"/>
      <c r="B55" s="21"/>
      <c r="C55" s="21"/>
      <c r="D55" s="21"/>
      <c r="E55" s="23"/>
      <c r="F55" s="23"/>
      <c r="G55" s="48"/>
      <c r="H55" s="48"/>
      <c r="I55" s="48"/>
      <c r="J55" s="4"/>
      <c r="K55" s="48"/>
    </row>
    <row r="56" spans="1:12" x14ac:dyDescent="0.25">
      <c r="A56" s="20"/>
      <c r="B56" s="21"/>
      <c r="C56" s="21"/>
      <c r="D56" s="21"/>
      <c r="E56" s="23"/>
      <c r="F56" s="23"/>
      <c r="G56" s="48"/>
      <c r="H56" s="48"/>
      <c r="I56" s="48"/>
      <c r="J56" s="4"/>
      <c r="K56" s="48"/>
    </row>
    <row r="57" spans="1:12" x14ac:dyDescent="0.25">
      <c r="A57" s="20"/>
      <c r="B57" s="21"/>
      <c r="C57" s="21"/>
      <c r="D57" s="21"/>
      <c r="E57" s="23"/>
      <c r="F57" s="23"/>
      <c r="G57" s="48"/>
      <c r="H57" s="48"/>
      <c r="I57" s="48"/>
      <c r="J57" s="4"/>
      <c r="K57" s="48"/>
    </row>
    <row r="58" spans="1:12" x14ac:dyDescent="0.25">
      <c r="A58" s="20"/>
      <c r="B58" s="21"/>
      <c r="C58" s="21"/>
      <c r="D58" s="21"/>
      <c r="E58" s="23"/>
      <c r="F58" s="23"/>
      <c r="G58" s="48"/>
      <c r="H58" s="48"/>
      <c r="I58" s="48"/>
      <c r="J58" s="4"/>
      <c r="K58" s="48"/>
    </row>
    <row r="59" spans="1:12" x14ac:dyDescent="0.25">
      <c r="A59" s="20"/>
      <c r="B59" s="21"/>
      <c r="C59" s="21"/>
      <c r="D59" s="21"/>
      <c r="E59" s="23"/>
      <c r="F59" s="23"/>
      <c r="G59" s="48"/>
      <c r="H59" s="48"/>
      <c r="I59" s="48"/>
      <c r="J59" s="4"/>
      <c r="K59" s="48"/>
    </row>
    <row r="60" spans="1:12" x14ac:dyDescent="0.25">
      <c r="A60" s="20"/>
      <c r="B60" s="21"/>
      <c r="C60" s="21"/>
      <c r="D60" s="21"/>
      <c r="E60" s="23"/>
      <c r="F60" s="23"/>
      <c r="G60" s="48"/>
      <c r="H60" s="48"/>
      <c r="I60" s="48"/>
      <c r="J60" s="4"/>
      <c r="K60" s="48"/>
    </row>
    <row r="61" spans="1:12" x14ac:dyDescent="0.25">
      <c r="A61" s="20"/>
      <c r="B61" s="21"/>
      <c r="C61" s="21"/>
      <c r="D61" s="21"/>
      <c r="E61" s="23"/>
      <c r="F61" s="23"/>
      <c r="G61" s="48"/>
      <c r="H61" s="48"/>
      <c r="I61" s="48"/>
      <c r="J61" s="4"/>
      <c r="K61" s="48"/>
    </row>
    <row r="62" spans="1:12" x14ac:dyDescent="0.25">
      <c r="A62" s="20"/>
      <c r="B62" s="21"/>
      <c r="C62" s="21"/>
      <c r="D62" s="21"/>
      <c r="E62" s="23"/>
      <c r="F62" s="23"/>
      <c r="G62" s="48"/>
      <c r="H62" s="48"/>
      <c r="I62" s="48"/>
      <c r="J62" s="4"/>
      <c r="K62" s="48"/>
    </row>
    <row r="63" spans="1:12" x14ac:dyDescent="0.25">
      <c r="A63" s="20"/>
      <c r="B63" s="21"/>
      <c r="C63" s="21"/>
      <c r="D63" s="21"/>
      <c r="E63" s="23"/>
      <c r="F63" s="23"/>
      <c r="G63" s="48"/>
      <c r="H63" s="48"/>
      <c r="I63" s="48"/>
      <c r="J63" s="4"/>
      <c r="K63" s="48"/>
    </row>
    <row r="64" spans="1:12" x14ac:dyDescent="0.25">
      <c r="A64" s="20"/>
      <c r="B64" s="21"/>
      <c r="C64" s="21"/>
      <c r="D64" s="21"/>
      <c r="E64" s="23"/>
      <c r="F64" s="23"/>
      <c r="G64" s="48"/>
      <c r="H64" s="48"/>
      <c r="I64" s="48"/>
      <c r="J64" s="4"/>
      <c r="K64" s="48"/>
    </row>
    <row r="65" spans="1:11" x14ac:dyDescent="0.25">
      <c r="A65" s="20"/>
      <c r="B65" s="21"/>
      <c r="C65" s="21"/>
      <c r="D65" s="21"/>
      <c r="E65" s="23"/>
      <c r="F65" s="23"/>
      <c r="G65" s="48"/>
      <c r="H65" s="48"/>
      <c r="I65" s="48"/>
      <c r="J65" s="4"/>
      <c r="K65" s="48"/>
    </row>
    <row r="66" spans="1:11" x14ac:dyDescent="0.25">
      <c r="A66" s="20"/>
      <c r="B66" s="21"/>
      <c r="C66" s="21"/>
      <c r="D66" s="21"/>
      <c r="E66" s="23"/>
      <c r="F66" s="23"/>
      <c r="G66" s="48"/>
      <c r="H66" s="48"/>
      <c r="I66" s="48"/>
      <c r="J66" s="4"/>
      <c r="K66" s="48"/>
    </row>
    <row r="67" spans="1:11" x14ac:dyDescent="0.25">
      <c r="A67" s="20"/>
      <c r="B67" s="21"/>
      <c r="C67" s="21"/>
      <c r="D67" s="21"/>
      <c r="E67" s="23"/>
      <c r="F67" s="23"/>
      <c r="G67" s="48"/>
      <c r="H67" s="48"/>
      <c r="I67" s="48"/>
      <c r="J67" s="4"/>
      <c r="K67" s="48"/>
    </row>
    <row r="68" spans="1:11" x14ac:dyDescent="0.25">
      <c r="A68" s="20"/>
      <c r="B68" s="21"/>
      <c r="C68" s="21"/>
      <c r="D68" s="21"/>
      <c r="E68" s="23"/>
      <c r="F68" s="23"/>
      <c r="G68" s="48"/>
      <c r="H68" s="48"/>
      <c r="I68" s="48"/>
      <c r="J68" s="4"/>
      <c r="K68" s="48"/>
    </row>
    <row r="69" spans="1:11" x14ac:dyDescent="0.25">
      <c r="A69" s="20"/>
      <c r="B69" s="21"/>
      <c r="C69" s="21"/>
      <c r="D69" s="21"/>
      <c r="E69" s="23"/>
      <c r="F69" s="23"/>
      <c r="G69" s="48"/>
      <c r="H69" s="48"/>
      <c r="I69" s="48"/>
      <c r="J69" s="4"/>
      <c r="K69" s="48"/>
    </row>
    <row r="70" spans="1:11" x14ac:dyDescent="0.25">
      <c r="A70" s="20"/>
      <c r="B70" s="21"/>
      <c r="C70" s="21"/>
      <c r="D70" s="21"/>
      <c r="E70" s="23"/>
      <c r="F70" s="23"/>
      <c r="G70" s="48"/>
      <c r="H70" s="48"/>
      <c r="I70" s="48"/>
      <c r="J70" s="4"/>
      <c r="K70" s="48"/>
    </row>
    <row r="71" spans="1:11" x14ac:dyDescent="0.25">
      <c r="A71" s="20"/>
      <c r="B71" s="21"/>
      <c r="C71" s="21"/>
      <c r="D71" s="21"/>
      <c r="E71" s="23"/>
      <c r="F71" s="23"/>
      <c r="G71" s="48"/>
      <c r="H71" s="48"/>
      <c r="I71" s="48"/>
      <c r="J71" s="4"/>
      <c r="K71" s="48"/>
    </row>
    <row r="72" spans="1:11" x14ac:dyDescent="0.25">
      <c r="A72" s="20"/>
      <c r="B72" s="21"/>
      <c r="C72" s="21"/>
      <c r="D72" s="21"/>
      <c r="E72" s="23"/>
      <c r="F72" s="23"/>
      <c r="G72" s="48"/>
      <c r="H72" s="48"/>
      <c r="I72" s="48"/>
      <c r="J72" s="4"/>
      <c r="K72" s="48"/>
    </row>
    <row r="73" spans="1:11" x14ac:dyDescent="0.25">
      <c r="A73" s="20"/>
      <c r="B73" s="21"/>
      <c r="C73" s="21"/>
      <c r="D73" s="21"/>
      <c r="E73" s="23"/>
      <c r="F73" s="23"/>
      <c r="G73" s="48"/>
      <c r="H73" s="48"/>
      <c r="I73" s="48"/>
      <c r="J73" s="4"/>
      <c r="K73" s="48"/>
    </row>
    <row r="74" spans="1:11" x14ac:dyDescent="0.25">
      <c r="A74" s="20"/>
      <c r="B74" s="21"/>
      <c r="C74" s="21"/>
      <c r="D74" s="21"/>
      <c r="E74" s="23"/>
      <c r="F74" s="23"/>
      <c r="G74" s="48"/>
      <c r="H74" s="48"/>
      <c r="I74" s="48"/>
      <c r="J74" s="4"/>
      <c r="K74" s="48"/>
    </row>
    <row r="75" spans="1:11" x14ac:dyDescent="0.25">
      <c r="A75" s="20"/>
      <c r="B75" s="21"/>
      <c r="C75" s="21"/>
      <c r="D75" s="21"/>
      <c r="E75" s="23"/>
      <c r="F75" s="23"/>
      <c r="G75" s="48"/>
      <c r="H75" s="48"/>
      <c r="I75" s="48"/>
      <c r="J75" s="4"/>
      <c r="K75" s="48"/>
    </row>
    <row r="76" spans="1:11" x14ac:dyDescent="0.25">
      <c r="A76" s="20"/>
      <c r="B76" s="21"/>
      <c r="C76" s="21"/>
      <c r="D76" s="21"/>
      <c r="E76" s="23"/>
      <c r="F76" s="23"/>
      <c r="G76" s="48"/>
      <c r="H76" s="48"/>
      <c r="I76" s="48"/>
      <c r="J76" s="4"/>
      <c r="K76" s="48"/>
    </row>
    <row r="77" spans="1:11" x14ac:dyDescent="0.25">
      <c r="A77" s="20"/>
      <c r="B77" s="21"/>
      <c r="C77" s="21"/>
      <c r="D77" s="21"/>
      <c r="E77" s="23"/>
      <c r="F77" s="23"/>
      <c r="G77" s="48"/>
      <c r="H77" s="48"/>
      <c r="I77" s="48"/>
      <c r="J77" s="4"/>
      <c r="K77" s="48"/>
    </row>
    <row r="78" spans="1:11" x14ac:dyDescent="0.25">
      <c r="A78" s="20"/>
      <c r="B78" s="21"/>
      <c r="C78" s="21"/>
      <c r="D78" s="21"/>
      <c r="E78" s="23"/>
      <c r="F78" s="23"/>
      <c r="G78" s="48"/>
      <c r="H78" s="48"/>
      <c r="I78" s="48"/>
      <c r="J78" s="4"/>
      <c r="K78" s="48"/>
    </row>
    <row r="79" spans="1:11" x14ac:dyDescent="0.25">
      <c r="A79" s="20"/>
      <c r="B79" s="21"/>
      <c r="C79" s="21"/>
      <c r="D79" s="21"/>
      <c r="E79" s="23"/>
      <c r="F79" s="23"/>
      <c r="G79" s="48"/>
      <c r="H79" s="48"/>
      <c r="I79" s="48"/>
      <c r="J79" s="4"/>
      <c r="K79" s="48"/>
    </row>
    <row r="80" spans="1:11" x14ac:dyDescent="0.25">
      <c r="A80" s="20"/>
      <c r="B80" s="21"/>
      <c r="C80" s="21"/>
      <c r="D80" s="21"/>
      <c r="E80" s="23"/>
      <c r="F80" s="23"/>
      <c r="G80" s="48"/>
      <c r="H80" s="48"/>
      <c r="I80" s="48"/>
      <c r="J80" s="4"/>
      <c r="K80" s="48"/>
    </row>
  </sheetData>
  <sheetProtection sheet="1" scenarios="1" formatColumns="0" sort="0" autoFilter="0"/>
  <mergeCells count="8">
    <mergeCell ref="N38:O38"/>
    <mergeCell ref="N46:O46"/>
    <mergeCell ref="N26:O26"/>
    <mergeCell ref="N37:O37"/>
    <mergeCell ref="A1:L1"/>
    <mergeCell ref="N2:O2"/>
    <mergeCell ref="N14:O14"/>
    <mergeCell ref="N16:O16"/>
  </mergeCells>
  <dataValidations count="3">
    <dataValidation type="list" allowBlank="1" showInputMessage="1" showErrorMessage="1" sqref="O4" xr:uid="{6C353F45-8304-4FBD-94EC-97B07E1BA9A4}">
      <formula1>$Q$1:$Q$4</formula1>
    </dataValidation>
    <dataValidation type="list" allowBlank="1" showInputMessage="1" showErrorMessage="1" sqref="O5" xr:uid="{4534F280-24D9-4180-AB40-1B0BA1928396}">
      <formula1>$Q$6:$Q$7</formula1>
    </dataValidation>
    <dataValidation type="list" allowBlank="1" showInputMessage="1" showErrorMessage="1" sqref="O10" xr:uid="{24CB85A9-1527-4C32-83FD-27D96A4DC1A3}">
      <formula1>$Q$9:$Q$10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oHome">
                <anchor moveWithCells="1" sizeWithCells="1">
                  <from>
                    <xdr:col>0</xdr:col>
                    <xdr:colOff>180975</xdr:colOff>
                    <xdr:row>0</xdr:row>
                    <xdr:rowOff>28575</xdr:rowOff>
                  </from>
                  <to>
                    <xdr:col>0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ddProduct">
                <anchor moveWithCells="1" sizeWithCells="1">
                  <from>
                    <xdr:col>13</xdr:col>
                    <xdr:colOff>0</xdr:colOff>
                    <xdr:row>12</xdr:row>
                    <xdr:rowOff>152400</xdr:rowOff>
                  </from>
                  <to>
                    <xdr:col>13</xdr:col>
                    <xdr:colOff>952500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rProductForm">
                <anchor moveWithCells="1" sizeWithCells="1">
                  <from>
                    <xdr:col>13</xdr:col>
                    <xdr:colOff>981075</xdr:colOff>
                    <xdr:row>12</xdr:row>
                    <xdr:rowOff>142875</xdr:rowOff>
                  </from>
                  <to>
                    <xdr:col>14</xdr:col>
                    <xdr:colOff>285750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Button 8">
              <controlPr defaultSize="0" print="0" autoFill="0" autoPict="0" macro="[0]!LoadProductForEdit">
                <anchor moveWithCells="1" sizeWithCells="1">
                  <from>
                    <xdr:col>13</xdr:col>
                    <xdr:colOff>66675</xdr:colOff>
                    <xdr:row>35</xdr:row>
                    <xdr:rowOff>171450</xdr:rowOff>
                  </from>
                  <to>
                    <xdr:col>13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7" name="Button 9">
              <controlPr defaultSize="0" print="0" autoFill="0" autoPict="0" macro="[0]!UpdateProduct">
                <anchor moveWithCells="1" sizeWithCells="1">
                  <from>
                    <xdr:col>13</xdr:col>
                    <xdr:colOff>1171575</xdr:colOff>
                    <xdr:row>35</xdr:row>
                    <xdr:rowOff>171450</xdr:rowOff>
                  </from>
                  <to>
                    <xdr:col>14</xdr:col>
                    <xdr:colOff>476250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8" name="Button 10">
              <controlPr defaultSize="0" print="0" autoFill="0" autoPict="0" macro="[0]!DeleteProduct">
                <anchor moveWithCells="1" sizeWithCells="1">
                  <from>
                    <xdr:col>14</xdr:col>
                    <xdr:colOff>704850</xdr:colOff>
                    <xdr:row>35</xdr:row>
                    <xdr:rowOff>161925</xdr:rowOff>
                  </from>
                  <to>
                    <xdr:col>14</xdr:col>
                    <xdr:colOff>1657350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Button 13">
              <controlPr defaultSize="0" print="0" autoFill="0" autoPict="0" macro="[0]!AddStock">
                <anchor moveWithCells="1" sizeWithCells="1">
                  <from>
                    <xdr:col>13</xdr:col>
                    <xdr:colOff>142875</xdr:colOff>
                    <xdr:row>44</xdr:row>
                    <xdr:rowOff>161925</xdr:rowOff>
                  </from>
                  <to>
                    <xdr:col>13</xdr:col>
                    <xdr:colOff>1095375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Button 14">
              <controlPr defaultSize="0" print="0" autoFill="0" autoPict="0" macro="[0]!ClearStockForm">
                <anchor moveWithCells="1" sizeWithCells="1">
                  <from>
                    <xdr:col>13</xdr:col>
                    <xdr:colOff>1285875</xdr:colOff>
                    <xdr:row>44</xdr:row>
                    <xdr:rowOff>161925</xdr:rowOff>
                  </from>
                  <to>
                    <xdr:col>14</xdr:col>
                    <xdr:colOff>590550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E9C4E-89BA-41C9-937E-448B5AD31263}">
  <sheetPr codeName="Sheet5">
    <tabColor rgb="FF1B365D"/>
  </sheetPr>
  <dimension ref="A1:Q80"/>
  <sheetViews>
    <sheetView showGridLines="0" topLeftCell="E1" workbookViewId="0">
      <selection activeCell="N32" sqref="N32"/>
    </sheetView>
  </sheetViews>
  <sheetFormatPr defaultRowHeight="15" x14ac:dyDescent="0.25"/>
  <cols>
    <col min="1" max="1" width="17.140625" customWidth="1"/>
    <col min="2" max="2" width="22.85546875" customWidth="1"/>
    <col min="3" max="3" width="21" customWidth="1"/>
    <col min="4" max="4" width="26.7109375" customWidth="1"/>
    <col min="5" max="5" width="19" customWidth="1"/>
    <col min="6" max="6" width="26.7109375" customWidth="1"/>
    <col min="7" max="7" width="15.28515625" customWidth="1"/>
    <col min="8" max="8" width="19" customWidth="1"/>
    <col min="9" max="10" width="22.85546875" customWidth="1"/>
    <col min="11" max="11" width="21" customWidth="1"/>
    <col min="12" max="12" width="19" customWidth="1"/>
    <col min="14" max="14" width="24.7109375" customWidth="1"/>
    <col min="15" max="15" width="30.42578125" customWidth="1"/>
  </cols>
  <sheetData>
    <row r="1" spans="1:17" ht="27.95" customHeight="1" thickBot="1" x14ac:dyDescent="0.3">
      <c r="A1" s="135" t="s">
        <v>602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Q1" s="1" t="s">
        <v>612</v>
      </c>
    </row>
    <row r="2" spans="1:17" ht="21.95" customHeight="1" x14ac:dyDescent="0.25">
      <c r="A2" s="6" t="s">
        <v>603</v>
      </c>
      <c r="B2" s="6" t="s">
        <v>604</v>
      </c>
      <c r="C2" s="6" t="s">
        <v>180</v>
      </c>
      <c r="D2" s="6" t="s">
        <v>181</v>
      </c>
      <c r="E2" s="6" t="s">
        <v>480</v>
      </c>
      <c r="F2" s="6" t="s">
        <v>481</v>
      </c>
      <c r="G2" s="6" t="s">
        <v>605</v>
      </c>
      <c r="H2" s="6" t="s">
        <v>606</v>
      </c>
      <c r="I2" s="6" t="s">
        <v>607</v>
      </c>
      <c r="J2" s="6" t="s">
        <v>608</v>
      </c>
      <c r="K2" s="6" t="s">
        <v>609</v>
      </c>
      <c r="L2" s="6" t="s">
        <v>25</v>
      </c>
      <c r="N2" s="145" t="s">
        <v>825</v>
      </c>
      <c r="O2" s="146"/>
      <c r="Q2" s="1" t="s">
        <v>616</v>
      </c>
    </row>
    <row r="3" spans="1:17" x14ac:dyDescent="0.25">
      <c r="A3" s="36" t="s">
        <v>610</v>
      </c>
      <c r="B3" s="38" t="s">
        <v>178</v>
      </c>
      <c r="C3" s="36" t="s">
        <v>186</v>
      </c>
      <c r="D3" s="37" t="s">
        <v>611</v>
      </c>
      <c r="E3" s="36" t="s">
        <v>492</v>
      </c>
      <c r="F3" s="37" t="s">
        <v>493</v>
      </c>
      <c r="G3" s="47">
        <v>1</v>
      </c>
      <c r="H3" s="46">
        <v>45000</v>
      </c>
      <c r="I3" s="57">
        <f t="shared" ref="I3:I34" si="0">G3*H3</f>
        <v>45000</v>
      </c>
      <c r="J3" s="37" t="s">
        <v>612</v>
      </c>
      <c r="K3" s="39" t="s">
        <v>26</v>
      </c>
      <c r="L3" s="39" t="s">
        <v>613</v>
      </c>
      <c r="N3" s="9" t="s">
        <v>604</v>
      </c>
      <c r="O3" s="58">
        <v>46291</v>
      </c>
      <c r="Q3" s="1" t="s">
        <v>619</v>
      </c>
    </row>
    <row r="4" spans="1:17" x14ac:dyDescent="0.25">
      <c r="A4" s="36" t="s">
        <v>614</v>
      </c>
      <c r="B4" s="38" t="s">
        <v>178</v>
      </c>
      <c r="C4" s="36" t="s">
        <v>191</v>
      </c>
      <c r="D4" s="37" t="s">
        <v>615</v>
      </c>
      <c r="E4" s="36" t="s">
        <v>496</v>
      </c>
      <c r="F4" s="37" t="s">
        <v>497</v>
      </c>
      <c r="G4" s="47">
        <v>2</v>
      </c>
      <c r="H4" s="46">
        <v>800</v>
      </c>
      <c r="I4" s="57">
        <f t="shared" si="0"/>
        <v>1600</v>
      </c>
      <c r="J4" s="37" t="s">
        <v>616</v>
      </c>
      <c r="K4" s="39" t="s">
        <v>32</v>
      </c>
      <c r="L4" s="39" t="s">
        <v>613</v>
      </c>
      <c r="N4" s="9" t="s">
        <v>180</v>
      </c>
      <c r="O4" s="28"/>
      <c r="Q4" s="1"/>
    </row>
    <row r="5" spans="1:17" x14ac:dyDescent="0.25">
      <c r="A5" s="36" t="s">
        <v>617</v>
      </c>
      <c r="B5" s="38" t="s">
        <v>177</v>
      </c>
      <c r="C5" s="36" t="s">
        <v>186</v>
      </c>
      <c r="D5" s="37" t="s">
        <v>187</v>
      </c>
      <c r="E5" s="36" t="s">
        <v>500</v>
      </c>
      <c r="F5" s="37" t="s">
        <v>501</v>
      </c>
      <c r="G5" s="47">
        <v>3</v>
      </c>
      <c r="H5" s="46">
        <v>500</v>
      </c>
      <c r="I5" s="57">
        <f t="shared" si="0"/>
        <v>1500</v>
      </c>
      <c r="J5" s="37" t="s">
        <v>612</v>
      </c>
      <c r="K5" s="39" t="s">
        <v>55</v>
      </c>
      <c r="L5" s="39" t="s">
        <v>613</v>
      </c>
      <c r="N5" s="9" t="s">
        <v>181</v>
      </c>
      <c r="O5" s="12" t="str">
        <f>IF($O$4="","",IFERROR(_xlfn.XLOOKUP($O$4,CustomerMaster[Customer ID],CustomerMaster[Customer Name]),"Not found"))</f>
        <v/>
      </c>
      <c r="Q5" s="1" t="s">
        <v>613</v>
      </c>
    </row>
    <row r="6" spans="1:17" x14ac:dyDescent="0.25">
      <c r="A6" s="36" t="s">
        <v>618</v>
      </c>
      <c r="B6" s="38" t="s">
        <v>177</v>
      </c>
      <c r="C6" s="36" t="s">
        <v>191</v>
      </c>
      <c r="D6" s="37" t="s">
        <v>192</v>
      </c>
      <c r="E6" s="36" t="s">
        <v>502</v>
      </c>
      <c r="F6" s="37" t="s">
        <v>503</v>
      </c>
      <c r="G6" s="47">
        <v>1</v>
      </c>
      <c r="H6" s="46">
        <v>11000</v>
      </c>
      <c r="I6" s="57">
        <f t="shared" si="0"/>
        <v>11000</v>
      </c>
      <c r="J6" s="37" t="s">
        <v>619</v>
      </c>
      <c r="K6" s="39" t="s">
        <v>77</v>
      </c>
      <c r="L6" s="39" t="s">
        <v>613</v>
      </c>
      <c r="N6" s="9" t="s">
        <v>480</v>
      </c>
      <c r="O6" s="28"/>
      <c r="Q6" s="1" t="s">
        <v>631</v>
      </c>
    </row>
    <row r="7" spans="1:17" x14ac:dyDescent="0.25">
      <c r="A7" s="36" t="s">
        <v>620</v>
      </c>
      <c r="B7" s="38" t="s">
        <v>621</v>
      </c>
      <c r="C7" s="36" t="s">
        <v>197</v>
      </c>
      <c r="D7" s="37" t="s">
        <v>198</v>
      </c>
      <c r="E7" s="36" t="s">
        <v>510</v>
      </c>
      <c r="F7" s="37" t="s">
        <v>511</v>
      </c>
      <c r="G7" s="47">
        <v>10</v>
      </c>
      <c r="H7" s="46">
        <v>260</v>
      </c>
      <c r="I7" s="57">
        <f t="shared" si="0"/>
        <v>2600</v>
      </c>
      <c r="J7" s="37" t="s">
        <v>616</v>
      </c>
      <c r="K7" s="39" t="s">
        <v>26</v>
      </c>
      <c r="L7" s="39" t="s">
        <v>613</v>
      </c>
      <c r="N7" s="9" t="s">
        <v>481</v>
      </c>
      <c r="O7" s="12" t="str">
        <f>IF($O$6="","",IFERROR(_xlfn.XLOOKUP($O$6,InventoryMaster[Product ID],InventoryMaster[Product Name]),"Not found"))</f>
        <v/>
      </c>
      <c r="Q7" s="1" t="s">
        <v>643</v>
      </c>
    </row>
    <row r="8" spans="1:17" x14ac:dyDescent="0.25">
      <c r="A8" s="36" t="s">
        <v>622</v>
      </c>
      <c r="B8" s="38" t="s">
        <v>621</v>
      </c>
      <c r="C8" s="36" t="s">
        <v>203</v>
      </c>
      <c r="D8" s="37" t="s">
        <v>204</v>
      </c>
      <c r="E8" s="36" t="s">
        <v>514</v>
      </c>
      <c r="F8" s="37" t="s">
        <v>515</v>
      </c>
      <c r="G8" s="47">
        <v>1</v>
      </c>
      <c r="H8" s="46">
        <v>15500</v>
      </c>
      <c r="I8" s="57">
        <f t="shared" si="0"/>
        <v>15500</v>
      </c>
      <c r="J8" s="37" t="s">
        <v>623</v>
      </c>
      <c r="K8" s="39" t="s">
        <v>116</v>
      </c>
      <c r="L8" s="39" t="s">
        <v>613</v>
      </c>
      <c r="N8" s="9" t="s">
        <v>605</v>
      </c>
      <c r="O8" s="52"/>
    </row>
    <row r="9" spans="1:17" x14ac:dyDescent="0.25">
      <c r="A9" s="36" t="s">
        <v>624</v>
      </c>
      <c r="B9" s="38" t="s">
        <v>176</v>
      </c>
      <c r="C9" s="36" t="s">
        <v>208</v>
      </c>
      <c r="D9" s="37" t="s">
        <v>209</v>
      </c>
      <c r="E9" s="36" t="s">
        <v>516</v>
      </c>
      <c r="F9" s="37" t="s">
        <v>517</v>
      </c>
      <c r="G9" s="47">
        <v>4</v>
      </c>
      <c r="H9" s="46">
        <v>280</v>
      </c>
      <c r="I9" s="57">
        <f t="shared" si="0"/>
        <v>1120</v>
      </c>
      <c r="J9" s="37" t="s">
        <v>612</v>
      </c>
      <c r="K9" s="39" t="s">
        <v>32</v>
      </c>
      <c r="L9" s="39" t="s">
        <v>613</v>
      </c>
      <c r="N9" s="9" t="s">
        <v>606</v>
      </c>
      <c r="O9" s="45" t="str">
        <f>IF($O$6="","",IFERROR(_xlfn.XLOOKUP($O$6,InventoryMaster[Product ID],InventoryMaster[Selling Price]),""))</f>
        <v/>
      </c>
    </row>
    <row r="10" spans="1:17" x14ac:dyDescent="0.25">
      <c r="A10" s="36" t="s">
        <v>625</v>
      </c>
      <c r="B10" s="38" t="s">
        <v>176</v>
      </c>
      <c r="C10" s="36" t="s">
        <v>213</v>
      </c>
      <c r="D10" s="37" t="s">
        <v>214</v>
      </c>
      <c r="E10" s="36" t="s">
        <v>520</v>
      </c>
      <c r="F10" s="37" t="s">
        <v>521</v>
      </c>
      <c r="G10" s="47">
        <v>2</v>
      </c>
      <c r="H10" s="46">
        <v>1999</v>
      </c>
      <c r="I10" s="57">
        <f t="shared" si="0"/>
        <v>3998</v>
      </c>
      <c r="J10" s="37" t="s">
        <v>612</v>
      </c>
      <c r="K10" s="39" t="s">
        <v>96</v>
      </c>
      <c r="L10" s="39" t="s">
        <v>613</v>
      </c>
      <c r="N10" s="9" t="s">
        <v>607</v>
      </c>
      <c r="O10" s="45" t="str">
        <f>IF(OR($O$8="",$O$9=""),"",$O$8*$O$9)</f>
        <v/>
      </c>
    </row>
    <row r="11" spans="1:17" x14ac:dyDescent="0.25">
      <c r="A11" s="36" t="s">
        <v>626</v>
      </c>
      <c r="B11" s="38" t="s">
        <v>266</v>
      </c>
      <c r="C11" s="36" t="s">
        <v>218</v>
      </c>
      <c r="D11" s="37" t="s">
        <v>219</v>
      </c>
      <c r="E11" s="36" t="s">
        <v>522</v>
      </c>
      <c r="F11" s="37" t="s">
        <v>523</v>
      </c>
      <c r="G11" s="47">
        <v>5</v>
      </c>
      <c r="H11" s="46">
        <v>550</v>
      </c>
      <c r="I11" s="57">
        <f t="shared" si="0"/>
        <v>2750</v>
      </c>
      <c r="J11" s="37" t="s">
        <v>616</v>
      </c>
      <c r="K11" s="39" t="s">
        <v>77</v>
      </c>
      <c r="L11" s="39" t="s">
        <v>613</v>
      </c>
      <c r="N11" s="9" t="s">
        <v>608</v>
      </c>
      <c r="O11" s="28"/>
    </row>
    <row r="12" spans="1:17" x14ac:dyDescent="0.25">
      <c r="A12" s="36" t="s">
        <v>627</v>
      </c>
      <c r="B12" s="38" t="s">
        <v>266</v>
      </c>
      <c r="C12" s="36" t="s">
        <v>223</v>
      </c>
      <c r="D12" s="37" t="s">
        <v>224</v>
      </c>
      <c r="E12" s="36" t="s">
        <v>528</v>
      </c>
      <c r="F12" s="37" t="s">
        <v>529</v>
      </c>
      <c r="G12" s="47">
        <v>1</v>
      </c>
      <c r="H12" s="46">
        <v>2999</v>
      </c>
      <c r="I12" s="57">
        <f t="shared" si="0"/>
        <v>2999</v>
      </c>
      <c r="J12" s="37" t="s">
        <v>619</v>
      </c>
      <c r="K12" s="39" t="s">
        <v>55</v>
      </c>
      <c r="L12" s="39" t="s">
        <v>613</v>
      </c>
      <c r="N12" s="9" t="s">
        <v>609</v>
      </c>
      <c r="O12" s="28"/>
    </row>
    <row r="13" spans="1:17" x14ac:dyDescent="0.25">
      <c r="A13" s="36" t="s">
        <v>628</v>
      </c>
      <c r="B13" s="38" t="s">
        <v>175</v>
      </c>
      <c r="C13" s="36" t="s">
        <v>229</v>
      </c>
      <c r="D13" s="37" t="s">
        <v>230</v>
      </c>
      <c r="E13" s="36" t="s">
        <v>532</v>
      </c>
      <c r="F13" s="37" t="s">
        <v>533</v>
      </c>
      <c r="G13" s="47">
        <v>2</v>
      </c>
      <c r="H13" s="46">
        <v>1199</v>
      </c>
      <c r="I13" s="57">
        <f t="shared" si="0"/>
        <v>2398</v>
      </c>
      <c r="J13" s="37" t="s">
        <v>612</v>
      </c>
      <c r="K13" s="39" t="s">
        <v>26</v>
      </c>
      <c r="L13" s="39" t="s">
        <v>613</v>
      </c>
      <c r="N13" s="9" t="s">
        <v>25</v>
      </c>
      <c r="O13" s="28" t="s">
        <v>613</v>
      </c>
    </row>
    <row r="14" spans="1:17" x14ac:dyDescent="0.25">
      <c r="A14" s="36" t="s">
        <v>629</v>
      </c>
      <c r="B14" s="38" t="s">
        <v>175</v>
      </c>
      <c r="C14" s="36" t="s">
        <v>234</v>
      </c>
      <c r="D14" s="37" t="s">
        <v>235</v>
      </c>
      <c r="E14" s="36" t="s">
        <v>534</v>
      </c>
      <c r="F14" s="37" t="s">
        <v>535</v>
      </c>
      <c r="G14" s="47">
        <v>1</v>
      </c>
      <c r="H14" s="46">
        <v>4299</v>
      </c>
      <c r="I14" s="57">
        <f t="shared" si="0"/>
        <v>4299</v>
      </c>
      <c r="J14" s="37" t="s">
        <v>612</v>
      </c>
      <c r="K14" s="39" t="s">
        <v>116</v>
      </c>
      <c r="L14" s="39" t="s">
        <v>613</v>
      </c>
      <c r="N14" s="7"/>
      <c r="O14" s="8"/>
    </row>
    <row r="15" spans="1:17" x14ac:dyDescent="0.25">
      <c r="A15" s="36" t="s">
        <v>630</v>
      </c>
      <c r="B15" s="38" t="s">
        <v>288</v>
      </c>
      <c r="C15" s="36" t="s">
        <v>239</v>
      </c>
      <c r="D15" s="37" t="s">
        <v>240</v>
      </c>
      <c r="E15" s="36" t="s">
        <v>542</v>
      </c>
      <c r="F15" s="37" t="s">
        <v>543</v>
      </c>
      <c r="G15" s="47">
        <v>2</v>
      </c>
      <c r="H15" s="46">
        <v>1299</v>
      </c>
      <c r="I15" s="57">
        <f t="shared" si="0"/>
        <v>2598</v>
      </c>
      <c r="J15" s="37" t="s">
        <v>616</v>
      </c>
      <c r="K15" s="39" t="s">
        <v>32</v>
      </c>
      <c r="L15" s="39" t="s">
        <v>631</v>
      </c>
      <c r="N15" s="9" t="s">
        <v>603</v>
      </c>
      <c r="O15" s="11" t="str">
        <f>"S"&amp;TEXT(COUNTA(SalesRegister[Sale ID])+1,"000")</f>
        <v>S054</v>
      </c>
    </row>
    <row r="16" spans="1:17" ht="15.75" thickBot="1" x14ac:dyDescent="0.3">
      <c r="A16" s="36" t="s">
        <v>632</v>
      </c>
      <c r="B16" s="38" t="s">
        <v>288</v>
      </c>
      <c r="C16" s="36" t="s">
        <v>244</v>
      </c>
      <c r="D16" s="37" t="s">
        <v>245</v>
      </c>
      <c r="E16" s="36" t="s">
        <v>506</v>
      </c>
      <c r="F16" s="37" t="s">
        <v>507</v>
      </c>
      <c r="G16" s="47">
        <v>2</v>
      </c>
      <c r="H16" s="46">
        <v>5999</v>
      </c>
      <c r="I16" s="57">
        <f t="shared" si="0"/>
        <v>11998</v>
      </c>
      <c r="J16" s="37" t="s">
        <v>623</v>
      </c>
      <c r="K16" s="39" t="s">
        <v>111</v>
      </c>
      <c r="L16" s="39" t="s">
        <v>613</v>
      </c>
      <c r="N16" s="53"/>
    </row>
    <row r="17" spans="1:15" ht="15.75" thickBot="1" x14ac:dyDescent="0.3">
      <c r="A17" s="36" t="s">
        <v>633</v>
      </c>
      <c r="B17" s="38" t="s">
        <v>174</v>
      </c>
      <c r="C17" s="36" t="s">
        <v>250</v>
      </c>
      <c r="D17" s="37" t="s">
        <v>251</v>
      </c>
      <c r="E17" s="36" t="s">
        <v>544</v>
      </c>
      <c r="F17" s="37" t="s">
        <v>545</v>
      </c>
      <c r="G17" s="47">
        <v>1</v>
      </c>
      <c r="H17" s="46">
        <v>33500</v>
      </c>
      <c r="I17" s="57">
        <f t="shared" si="0"/>
        <v>33500</v>
      </c>
      <c r="J17" s="37" t="s">
        <v>619</v>
      </c>
      <c r="K17" s="39" t="s">
        <v>26</v>
      </c>
      <c r="L17" s="39" t="s">
        <v>613</v>
      </c>
      <c r="N17" s="147" t="s">
        <v>826</v>
      </c>
      <c r="O17" s="148"/>
    </row>
    <row r="18" spans="1:15" ht="15.75" thickBot="1" x14ac:dyDescent="0.3">
      <c r="A18" s="36" t="s">
        <v>634</v>
      </c>
      <c r="B18" s="38" t="s">
        <v>174</v>
      </c>
      <c r="C18" s="36" t="s">
        <v>255</v>
      </c>
      <c r="D18" s="37" t="s">
        <v>256</v>
      </c>
      <c r="E18" s="36" t="s">
        <v>550</v>
      </c>
      <c r="F18" s="37" t="s">
        <v>551</v>
      </c>
      <c r="G18" s="47">
        <v>20</v>
      </c>
      <c r="H18" s="46">
        <v>160</v>
      </c>
      <c r="I18" s="57">
        <f t="shared" si="0"/>
        <v>3200</v>
      </c>
      <c r="J18" s="37" t="s">
        <v>616</v>
      </c>
      <c r="K18" s="39" t="s">
        <v>77</v>
      </c>
      <c r="L18" s="39" t="s">
        <v>613</v>
      </c>
      <c r="N18" s="140" t="s">
        <v>798</v>
      </c>
      <c r="O18" s="141"/>
    </row>
    <row r="19" spans="1:15" x14ac:dyDescent="0.25">
      <c r="A19" s="36" t="s">
        <v>635</v>
      </c>
      <c r="B19" s="38" t="s">
        <v>316</v>
      </c>
      <c r="C19" s="36" t="s">
        <v>261</v>
      </c>
      <c r="D19" s="37" t="s">
        <v>262</v>
      </c>
      <c r="E19" s="36" t="s">
        <v>552</v>
      </c>
      <c r="F19" s="37" t="s">
        <v>553</v>
      </c>
      <c r="G19" s="47">
        <v>3</v>
      </c>
      <c r="H19" s="46">
        <v>1699</v>
      </c>
      <c r="I19" s="57">
        <f t="shared" si="0"/>
        <v>5097</v>
      </c>
      <c r="J19" s="37" t="s">
        <v>612</v>
      </c>
      <c r="K19" s="39" t="s">
        <v>96</v>
      </c>
      <c r="L19" s="39" t="s">
        <v>613</v>
      </c>
      <c r="N19" s="54" t="s">
        <v>973</v>
      </c>
      <c r="O19" s="55" t="str">
        <f>IF($O$6="","",IFERROR(_xlfn.XLOOKUP($O$6,InventoryMaster[Product ID],InventoryMaster[Current Stock]),"Not found"))</f>
        <v/>
      </c>
    </row>
    <row r="20" spans="1:15" x14ac:dyDescent="0.25">
      <c r="A20" s="36" t="s">
        <v>636</v>
      </c>
      <c r="B20" s="38" t="s">
        <v>316</v>
      </c>
      <c r="C20" s="36" t="s">
        <v>267</v>
      </c>
      <c r="D20" s="37" t="s">
        <v>268</v>
      </c>
      <c r="E20" s="36" t="s">
        <v>554</v>
      </c>
      <c r="F20" s="37" t="s">
        <v>555</v>
      </c>
      <c r="G20" s="47">
        <v>1</v>
      </c>
      <c r="H20" s="46">
        <v>3299</v>
      </c>
      <c r="I20" s="57">
        <f t="shared" si="0"/>
        <v>3299</v>
      </c>
      <c r="J20" s="37" t="s">
        <v>612</v>
      </c>
      <c r="K20" s="39" t="s">
        <v>55</v>
      </c>
      <c r="L20" s="39" t="s">
        <v>613</v>
      </c>
      <c r="N20" s="56" t="s">
        <v>974</v>
      </c>
      <c r="O20" t="str">
        <f>IF(OR($O$6="",$O$8=""),"",IF(NOT(ISNUMBER($O$19)),"Product ID not in INVENTORY",IF($O$8&lt;=0,"Quantity must be greater than 0",IF($O$8&gt;$O$19,"Insufficient stock! Available Stock: "&amp;$O$19&amp;" Requested Quantity: "&amp;$O$8,"OK"))))</f>
        <v/>
      </c>
    </row>
    <row r="21" spans="1:15" x14ac:dyDescent="0.25">
      <c r="A21" s="36" t="s">
        <v>637</v>
      </c>
      <c r="B21" s="38" t="s">
        <v>228</v>
      </c>
      <c r="C21" s="36" t="s">
        <v>272</v>
      </c>
      <c r="D21" s="37" t="s">
        <v>273</v>
      </c>
      <c r="E21" s="36" t="s">
        <v>562</v>
      </c>
      <c r="F21" s="37" t="s">
        <v>563</v>
      </c>
      <c r="G21" s="47">
        <v>4</v>
      </c>
      <c r="H21" s="46">
        <v>699</v>
      </c>
      <c r="I21" s="57">
        <f t="shared" si="0"/>
        <v>2796</v>
      </c>
      <c r="J21" s="37" t="s">
        <v>616</v>
      </c>
      <c r="K21" s="39" t="s">
        <v>32</v>
      </c>
      <c r="L21" s="39" t="s">
        <v>613</v>
      </c>
    </row>
    <row r="22" spans="1:15" x14ac:dyDescent="0.25">
      <c r="A22" s="36" t="s">
        <v>638</v>
      </c>
      <c r="B22" s="38" t="s">
        <v>228</v>
      </c>
      <c r="C22" s="36" t="s">
        <v>278</v>
      </c>
      <c r="D22" s="37" t="s">
        <v>279</v>
      </c>
      <c r="E22" s="36" t="s">
        <v>564</v>
      </c>
      <c r="F22" s="37" t="s">
        <v>565</v>
      </c>
      <c r="G22" s="47">
        <v>1</v>
      </c>
      <c r="H22" s="46">
        <v>16999</v>
      </c>
      <c r="I22" s="57">
        <f t="shared" si="0"/>
        <v>16999</v>
      </c>
      <c r="J22" s="37" t="s">
        <v>619</v>
      </c>
      <c r="K22" s="39" t="s">
        <v>116</v>
      </c>
      <c r="L22" s="39" t="s">
        <v>613</v>
      </c>
    </row>
    <row r="23" spans="1:15" x14ac:dyDescent="0.25">
      <c r="A23" s="36" t="s">
        <v>639</v>
      </c>
      <c r="B23" s="38" t="s">
        <v>173</v>
      </c>
      <c r="C23" s="36" t="s">
        <v>283</v>
      </c>
      <c r="D23" s="37" t="s">
        <v>284</v>
      </c>
      <c r="E23" s="36" t="s">
        <v>492</v>
      </c>
      <c r="F23" s="37" t="s">
        <v>493</v>
      </c>
      <c r="G23" s="47">
        <v>1</v>
      </c>
      <c r="H23" s="46">
        <v>45000</v>
      </c>
      <c r="I23" s="57">
        <f t="shared" si="0"/>
        <v>45000</v>
      </c>
      <c r="J23" s="37" t="s">
        <v>623</v>
      </c>
      <c r="K23" s="39" t="s">
        <v>26</v>
      </c>
      <c r="L23" s="39" t="s">
        <v>613</v>
      </c>
    </row>
    <row r="24" spans="1:15" x14ac:dyDescent="0.25">
      <c r="A24" s="36" t="s">
        <v>640</v>
      </c>
      <c r="B24" s="38" t="s">
        <v>173</v>
      </c>
      <c r="C24" s="36" t="s">
        <v>289</v>
      </c>
      <c r="D24" s="37" t="s">
        <v>290</v>
      </c>
      <c r="E24" s="36" t="s">
        <v>496</v>
      </c>
      <c r="F24" s="37" t="s">
        <v>497</v>
      </c>
      <c r="G24" s="47">
        <v>3</v>
      </c>
      <c r="H24" s="46">
        <v>800</v>
      </c>
      <c r="I24" s="57">
        <f t="shared" si="0"/>
        <v>2400</v>
      </c>
      <c r="J24" s="37" t="s">
        <v>612</v>
      </c>
      <c r="K24" s="39" t="s">
        <v>77</v>
      </c>
      <c r="L24" s="39" t="s">
        <v>613</v>
      </c>
    </row>
    <row r="25" spans="1:15" x14ac:dyDescent="0.25">
      <c r="A25" s="36" t="s">
        <v>641</v>
      </c>
      <c r="B25" s="38" t="s">
        <v>249</v>
      </c>
      <c r="C25" s="36" t="s">
        <v>294</v>
      </c>
      <c r="D25" s="37" t="s">
        <v>295</v>
      </c>
      <c r="E25" s="36" t="s">
        <v>568</v>
      </c>
      <c r="F25" s="37" t="s">
        <v>569</v>
      </c>
      <c r="G25" s="47">
        <v>2</v>
      </c>
      <c r="H25" s="46">
        <v>2899</v>
      </c>
      <c r="I25" s="57">
        <f t="shared" si="0"/>
        <v>5798</v>
      </c>
      <c r="J25" s="37" t="s">
        <v>612</v>
      </c>
      <c r="K25" s="39" t="s">
        <v>55</v>
      </c>
      <c r="L25" s="39" t="s">
        <v>613</v>
      </c>
    </row>
    <row r="26" spans="1:15" x14ac:dyDescent="0.25">
      <c r="A26" s="36" t="s">
        <v>642</v>
      </c>
      <c r="B26" s="38" t="s">
        <v>249</v>
      </c>
      <c r="C26" s="36" t="s">
        <v>300</v>
      </c>
      <c r="D26" s="37" t="s">
        <v>301</v>
      </c>
      <c r="E26" s="36" t="s">
        <v>572</v>
      </c>
      <c r="F26" s="37" t="s">
        <v>573</v>
      </c>
      <c r="G26" s="47">
        <v>2</v>
      </c>
      <c r="H26" s="46">
        <v>899</v>
      </c>
      <c r="I26" s="57">
        <f t="shared" si="0"/>
        <v>1798</v>
      </c>
      <c r="J26" s="37" t="s">
        <v>616</v>
      </c>
      <c r="K26" s="39" t="s">
        <v>32</v>
      </c>
      <c r="L26" s="39" t="s">
        <v>643</v>
      </c>
    </row>
    <row r="27" spans="1:15" x14ac:dyDescent="0.25">
      <c r="A27" s="36" t="s">
        <v>644</v>
      </c>
      <c r="B27" s="38" t="s">
        <v>360</v>
      </c>
      <c r="C27" s="36" t="s">
        <v>306</v>
      </c>
      <c r="D27" s="37" t="s">
        <v>307</v>
      </c>
      <c r="E27" s="36" t="s">
        <v>574</v>
      </c>
      <c r="F27" s="37" t="s">
        <v>575</v>
      </c>
      <c r="G27" s="47">
        <v>1</v>
      </c>
      <c r="H27" s="46">
        <v>5999</v>
      </c>
      <c r="I27" s="57">
        <f t="shared" si="0"/>
        <v>5999</v>
      </c>
      <c r="J27" s="37" t="s">
        <v>619</v>
      </c>
      <c r="K27" s="39" t="s">
        <v>96</v>
      </c>
      <c r="L27" s="39" t="s">
        <v>613</v>
      </c>
    </row>
    <row r="28" spans="1:15" x14ac:dyDescent="0.25">
      <c r="A28" s="36" t="s">
        <v>645</v>
      </c>
      <c r="B28" s="38" t="s">
        <v>360</v>
      </c>
      <c r="C28" s="36" t="s">
        <v>311</v>
      </c>
      <c r="D28" s="37" t="s">
        <v>312</v>
      </c>
      <c r="E28" s="36" t="s">
        <v>582</v>
      </c>
      <c r="F28" s="37" t="s">
        <v>583</v>
      </c>
      <c r="G28" s="47">
        <v>1</v>
      </c>
      <c r="H28" s="46">
        <v>1499</v>
      </c>
      <c r="I28" s="57">
        <f t="shared" si="0"/>
        <v>1499</v>
      </c>
      <c r="J28" s="37" t="s">
        <v>612</v>
      </c>
      <c r="K28" s="39" t="s">
        <v>116</v>
      </c>
      <c r="L28" s="39" t="s">
        <v>613</v>
      </c>
    </row>
    <row r="29" spans="1:15" x14ac:dyDescent="0.25">
      <c r="A29" s="36" t="s">
        <v>646</v>
      </c>
      <c r="B29" s="38" t="s">
        <v>172</v>
      </c>
      <c r="C29" s="36" t="s">
        <v>317</v>
      </c>
      <c r="D29" s="37" t="s">
        <v>318</v>
      </c>
      <c r="E29" s="36" t="s">
        <v>584</v>
      </c>
      <c r="F29" s="37" t="s">
        <v>585</v>
      </c>
      <c r="G29" s="47">
        <v>2</v>
      </c>
      <c r="H29" s="46">
        <v>4799</v>
      </c>
      <c r="I29" s="57">
        <f t="shared" si="0"/>
        <v>9598</v>
      </c>
      <c r="J29" s="37" t="s">
        <v>612</v>
      </c>
      <c r="K29" s="39" t="s">
        <v>26</v>
      </c>
      <c r="L29" s="39" t="s">
        <v>613</v>
      </c>
    </row>
    <row r="30" spans="1:15" x14ac:dyDescent="0.25">
      <c r="A30" s="36" t="s">
        <v>647</v>
      </c>
      <c r="B30" s="38" t="s">
        <v>172</v>
      </c>
      <c r="C30" s="36" t="s">
        <v>322</v>
      </c>
      <c r="D30" s="37" t="s">
        <v>323</v>
      </c>
      <c r="E30" s="36" t="s">
        <v>500</v>
      </c>
      <c r="F30" s="37" t="s">
        <v>501</v>
      </c>
      <c r="G30" s="47">
        <v>6</v>
      </c>
      <c r="H30" s="46">
        <v>500</v>
      </c>
      <c r="I30" s="57">
        <f t="shared" si="0"/>
        <v>3000</v>
      </c>
      <c r="J30" s="37" t="s">
        <v>616</v>
      </c>
      <c r="K30" s="39" t="s">
        <v>77</v>
      </c>
      <c r="L30" s="39" t="s">
        <v>613</v>
      </c>
    </row>
    <row r="31" spans="1:15" x14ac:dyDescent="0.25">
      <c r="A31" s="36" t="s">
        <v>648</v>
      </c>
      <c r="B31" s="38" t="s">
        <v>260</v>
      </c>
      <c r="C31" s="36" t="s">
        <v>329</v>
      </c>
      <c r="D31" s="37" t="s">
        <v>330</v>
      </c>
      <c r="E31" s="36" t="s">
        <v>594</v>
      </c>
      <c r="F31" s="37" t="s">
        <v>595</v>
      </c>
      <c r="G31" s="47">
        <v>1</v>
      </c>
      <c r="H31" s="46">
        <v>27500</v>
      </c>
      <c r="I31" s="57">
        <f t="shared" si="0"/>
        <v>27500</v>
      </c>
      <c r="J31" s="37" t="s">
        <v>623</v>
      </c>
      <c r="K31" s="39" t="s">
        <v>55</v>
      </c>
      <c r="L31" s="39" t="s">
        <v>613</v>
      </c>
    </row>
    <row r="32" spans="1:15" x14ac:dyDescent="0.25">
      <c r="A32" s="36" t="s">
        <v>649</v>
      </c>
      <c r="B32" s="38" t="s">
        <v>260</v>
      </c>
      <c r="C32" s="36" t="s">
        <v>335</v>
      </c>
      <c r="D32" s="37" t="s">
        <v>336</v>
      </c>
      <c r="E32" s="36" t="s">
        <v>504</v>
      </c>
      <c r="F32" s="37" t="s">
        <v>505</v>
      </c>
      <c r="G32" s="47">
        <v>3</v>
      </c>
      <c r="H32" s="46">
        <v>450</v>
      </c>
      <c r="I32" s="57">
        <f t="shared" si="0"/>
        <v>1350</v>
      </c>
      <c r="J32" s="37" t="s">
        <v>612</v>
      </c>
      <c r="K32" s="39" t="s">
        <v>32</v>
      </c>
      <c r="L32" s="39" t="s">
        <v>613</v>
      </c>
    </row>
    <row r="33" spans="1:12" x14ac:dyDescent="0.25">
      <c r="A33" s="36" t="s">
        <v>650</v>
      </c>
      <c r="B33" s="38" t="s">
        <v>196</v>
      </c>
      <c r="C33" s="36" t="s">
        <v>341</v>
      </c>
      <c r="D33" s="37" t="s">
        <v>342</v>
      </c>
      <c r="E33" s="36" t="s">
        <v>518</v>
      </c>
      <c r="F33" s="37" t="s">
        <v>519</v>
      </c>
      <c r="G33" s="47">
        <v>2</v>
      </c>
      <c r="H33" s="46">
        <v>999</v>
      </c>
      <c r="I33" s="57">
        <f t="shared" si="0"/>
        <v>1998</v>
      </c>
      <c r="J33" s="37" t="s">
        <v>616</v>
      </c>
      <c r="K33" s="39" t="s">
        <v>111</v>
      </c>
      <c r="L33" s="39" t="s">
        <v>613</v>
      </c>
    </row>
    <row r="34" spans="1:12" x14ac:dyDescent="0.25">
      <c r="A34" s="36" t="s">
        <v>651</v>
      </c>
      <c r="B34" s="38" t="s">
        <v>196</v>
      </c>
      <c r="C34" s="36" t="s">
        <v>347</v>
      </c>
      <c r="D34" s="37" t="s">
        <v>348</v>
      </c>
      <c r="E34" s="36" t="s">
        <v>526</v>
      </c>
      <c r="F34" s="37" t="s">
        <v>527</v>
      </c>
      <c r="G34" s="47">
        <v>10</v>
      </c>
      <c r="H34" s="46">
        <v>140</v>
      </c>
      <c r="I34" s="57">
        <f t="shared" si="0"/>
        <v>1400</v>
      </c>
      <c r="J34" s="37" t="s">
        <v>616</v>
      </c>
      <c r="K34" s="39" t="s">
        <v>26</v>
      </c>
      <c r="L34" s="39" t="s">
        <v>613</v>
      </c>
    </row>
    <row r="35" spans="1:12" x14ac:dyDescent="0.25">
      <c r="A35" s="36" t="s">
        <v>652</v>
      </c>
      <c r="B35" s="38" t="s">
        <v>277</v>
      </c>
      <c r="C35" s="36" t="s">
        <v>354</v>
      </c>
      <c r="D35" s="37" t="s">
        <v>355</v>
      </c>
      <c r="E35" s="36" t="s">
        <v>538</v>
      </c>
      <c r="F35" s="37" t="s">
        <v>539</v>
      </c>
      <c r="G35" s="47">
        <v>4</v>
      </c>
      <c r="H35" s="46">
        <v>1350</v>
      </c>
      <c r="I35" s="57">
        <f t="shared" ref="I35:I52" si="1">G35*H35</f>
        <v>5400</v>
      </c>
      <c r="J35" s="37" t="s">
        <v>612</v>
      </c>
      <c r="K35" s="39" t="s">
        <v>77</v>
      </c>
      <c r="L35" s="39" t="s">
        <v>613</v>
      </c>
    </row>
    <row r="36" spans="1:12" x14ac:dyDescent="0.25">
      <c r="A36" s="36" t="s">
        <v>653</v>
      </c>
      <c r="B36" s="38" t="s">
        <v>277</v>
      </c>
      <c r="C36" s="36" t="s">
        <v>361</v>
      </c>
      <c r="D36" s="37" t="s">
        <v>362</v>
      </c>
      <c r="E36" s="36" t="s">
        <v>540</v>
      </c>
      <c r="F36" s="37" t="s">
        <v>541</v>
      </c>
      <c r="G36" s="47">
        <v>1</v>
      </c>
      <c r="H36" s="46">
        <v>2199</v>
      </c>
      <c r="I36" s="57">
        <f t="shared" si="1"/>
        <v>2199</v>
      </c>
      <c r="J36" s="37" t="s">
        <v>619</v>
      </c>
      <c r="K36" s="39" t="s">
        <v>96</v>
      </c>
      <c r="L36" s="39" t="s">
        <v>631</v>
      </c>
    </row>
    <row r="37" spans="1:12" x14ac:dyDescent="0.25">
      <c r="A37" s="36" t="s">
        <v>654</v>
      </c>
      <c r="B37" s="38" t="s">
        <v>171</v>
      </c>
      <c r="C37" s="36" t="s">
        <v>368</v>
      </c>
      <c r="D37" s="37" t="s">
        <v>369</v>
      </c>
      <c r="E37" s="36" t="s">
        <v>556</v>
      </c>
      <c r="F37" s="37" t="s">
        <v>557</v>
      </c>
      <c r="G37" s="47">
        <v>4</v>
      </c>
      <c r="H37" s="46">
        <v>2999</v>
      </c>
      <c r="I37" s="57">
        <f t="shared" si="1"/>
        <v>11996</v>
      </c>
      <c r="J37" s="37" t="s">
        <v>623</v>
      </c>
      <c r="K37" s="39" t="s">
        <v>116</v>
      </c>
      <c r="L37" s="39" t="s">
        <v>613</v>
      </c>
    </row>
    <row r="38" spans="1:12" x14ac:dyDescent="0.25">
      <c r="A38" s="36" t="s">
        <v>655</v>
      </c>
      <c r="B38" s="38" t="s">
        <v>171</v>
      </c>
      <c r="C38" s="36" t="s">
        <v>375</v>
      </c>
      <c r="D38" s="37" t="s">
        <v>376</v>
      </c>
      <c r="E38" s="36" t="s">
        <v>558</v>
      </c>
      <c r="F38" s="37" t="s">
        <v>559</v>
      </c>
      <c r="G38" s="47">
        <v>15</v>
      </c>
      <c r="H38" s="46">
        <v>75</v>
      </c>
      <c r="I38" s="57">
        <f t="shared" si="1"/>
        <v>1125</v>
      </c>
      <c r="J38" s="37" t="s">
        <v>616</v>
      </c>
      <c r="K38" s="39" t="s">
        <v>32</v>
      </c>
      <c r="L38" s="39" t="s">
        <v>613</v>
      </c>
    </row>
    <row r="39" spans="1:12" x14ac:dyDescent="0.25">
      <c r="A39" s="36" t="s">
        <v>656</v>
      </c>
      <c r="B39" s="38" t="s">
        <v>299</v>
      </c>
      <c r="C39" s="36" t="s">
        <v>381</v>
      </c>
      <c r="D39" s="37" t="s">
        <v>382</v>
      </c>
      <c r="E39" s="36" t="s">
        <v>560</v>
      </c>
      <c r="F39" s="37" t="s">
        <v>561</v>
      </c>
      <c r="G39" s="47">
        <v>2</v>
      </c>
      <c r="H39" s="46">
        <v>699</v>
      </c>
      <c r="I39" s="57">
        <f t="shared" si="1"/>
        <v>1398</v>
      </c>
      <c r="J39" s="37" t="s">
        <v>612</v>
      </c>
      <c r="K39" s="39" t="s">
        <v>55</v>
      </c>
      <c r="L39" s="39" t="s">
        <v>613</v>
      </c>
    </row>
    <row r="40" spans="1:12" x14ac:dyDescent="0.25">
      <c r="A40" s="36" t="s">
        <v>657</v>
      </c>
      <c r="B40" s="38" t="s">
        <v>299</v>
      </c>
      <c r="C40" s="36" t="s">
        <v>388</v>
      </c>
      <c r="D40" s="37" t="s">
        <v>389</v>
      </c>
      <c r="E40" s="36" t="s">
        <v>502</v>
      </c>
      <c r="F40" s="37" t="s">
        <v>503</v>
      </c>
      <c r="G40" s="47">
        <v>2</v>
      </c>
      <c r="H40" s="46">
        <v>11000</v>
      </c>
      <c r="I40" s="57">
        <f t="shared" si="1"/>
        <v>22000</v>
      </c>
      <c r="J40" s="37" t="s">
        <v>612</v>
      </c>
      <c r="K40" s="39" t="s">
        <v>26</v>
      </c>
      <c r="L40" s="39" t="s">
        <v>613</v>
      </c>
    </row>
    <row r="41" spans="1:12" x14ac:dyDescent="0.25">
      <c r="A41" s="36" t="s">
        <v>658</v>
      </c>
      <c r="B41" s="38" t="s">
        <v>328</v>
      </c>
      <c r="C41" s="36" t="s">
        <v>395</v>
      </c>
      <c r="D41" s="37" t="s">
        <v>396</v>
      </c>
      <c r="E41" s="36" t="s">
        <v>514</v>
      </c>
      <c r="F41" s="37" t="s">
        <v>515</v>
      </c>
      <c r="G41" s="47">
        <v>1</v>
      </c>
      <c r="H41" s="46">
        <v>15500</v>
      </c>
      <c r="I41" s="57">
        <f t="shared" si="1"/>
        <v>15500</v>
      </c>
      <c r="J41" s="37" t="s">
        <v>619</v>
      </c>
      <c r="K41" s="39" t="s">
        <v>77</v>
      </c>
      <c r="L41" s="39" t="s">
        <v>613</v>
      </c>
    </row>
    <row r="42" spans="1:12" x14ac:dyDescent="0.25">
      <c r="A42" s="36" t="s">
        <v>659</v>
      </c>
      <c r="B42" s="38" t="s">
        <v>328</v>
      </c>
      <c r="C42" s="36" t="s">
        <v>401</v>
      </c>
      <c r="D42" s="37" t="s">
        <v>402</v>
      </c>
      <c r="E42" s="36" t="s">
        <v>522</v>
      </c>
      <c r="F42" s="37" t="s">
        <v>523</v>
      </c>
      <c r="G42" s="47">
        <v>8</v>
      </c>
      <c r="H42" s="46">
        <v>550</v>
      </c>
      <c r="I42" s="57">
        <f t="shared" si="1"/>
        <v>4400</v>
      </c>
      <c r="J42" s="37" t="s">
        <v>612</v>
      </c>
      <c r="K42" s="39" t="s">
        <v>32</v>
      </c>
      <c r="L42" s="39" t="s">
        <v>613</v>
      </c>
    </row>
    <row r="43" spans="1:12" x14ac:dyDescent="0.25">
      <c r="A43" s="36" t="s">
        <v>660</v>
      </c>
      <c r="B43" s="38" t="s">
        <v>413</v>
      </c>
      <c r="C43" s="36" t="s">
        <v>407</v>
      </c>
      <c r="D43" s="37" t="s">
        <v>408</v>
      </c>
      <c r="E43" s="36" t="s">
        <v>532</v>
      </c>
      <c r="F43" s="37" t="s">
        <v>533</v>
      </c>
      <c r="G43" s="47">
        <v>1</v>
      </c>
      <c r="H43" s="46">
        <v>1199</v>
      </c>
      <c r="I43" s="57">
        <f t="shared" si="1"/>
        <v>1199</v>
      </c>
      <c r="J43" s="37" t="s">
        <v>616</v>
      </c>
      <c r="K43" s="39" t="s">
        <v>96</v>
      </c>
      <c r="L43" s="39" t="s">
        <v>613</v>
      </c>
    </row>
    <row r="44" spans="1:12" x14ac:dyDescent="0.25">
      <c r="A44" s="36" t="s">
        <v>661</v>
      </c>
      <c r="B44" s="38" t="s">
        <v>413</v>
      </c>
      <c r="C44" s="36" t="s">
        <v>414</v>
      </c>
      <c r="D44" s="37" t="s">
        <v>415</v>
      </c>
      <c r="E44" s="36" t="s">
        <v>542</v>
      </c>
      <c r="F44" s="37" t="s">
        <v>543</v>
      </c>
      <c r="G44" s="47">
        <v>1</v>
      </c>
      <c r="H44" s="46">
        <v>1299</v>
      </c>
      <c r="I44" s="57">
        <f t="shared" si="1"/>
        <v>1299</v>
      </c>
      <c r="J44" s="37" t="s">
        <v>612</v>
      </c>
      <c r="K44" s="39" t="s">
        <v>116</v>
      </c>
      <c r="L44" s="39" t="s">
        <v>643</v>
      </c>
    </row>
    <row r="45" spans="1:12" x14ac:dyDescent="0.25">
      <c r="A45" s="36" t="s">
        <v>662</v>
      </c>
      <c r="B45" s="38" t="s">
        <v>353</v>
      </c>
      <c r="C45" s="36" t="s">
        <v>420</v>
      </c>
      <c r="D45" s="37" t="s">
        <v>421</v>
      </c>
      <c r="E45" s="36" t="s">
        <v>544</v>
      </c>
      <c r="F45" s="37" t="s">
        <v>545</v>
      </c>
      <c r="G45" s="47">
        <v>1</v>
      </c>
      <c r="H45" s="46">
        <v>33500</v>
      </c>
      <c r="I45" s="57">
        <f t="shared" si="1"/>
        <v>33500</v>
      </c>
      <c r="J45" s="37" t="s">
        <v>623</v>
      </c>
      <c r="K45" s="39" t="s">
        <v>26</v>
      </c>
      <c r="L45" s="39" t="s">
        <v>613</v>
      </c>
    </row>
    <row r="46" spans="1:12" x14ac:dyDescent="0.25">
      <c r="A46" s="36" t="s">
        <v>663</v>
      </c>
      <c r="B46" s="38" t="s">
        <v>353</v>
      </c>
      <c r="C46" s="36" t="s">
        <v>426</v>
      </c>
      <c r="D46" s="37" t="s">
        <v>427</v>
      </c>
      <c r="E46" s="36" t="s">
        <v>550</v>
      </c>
      <c r="F46" s="37" t="s">
        <v>551</v>
      </c>
      <c r="G46" s="47">
        <v>12</v>
      </c>
      <c r="H46" s="46">
        <v>160</v>
      </c>
      <c r="I46" s="57">
        <f t="shared" si="1"/>
        <v>1920</v>
      </c>
      <c r="J46" s="37" t="s">
        <v>616</v>
      </c>
      <c r="K46" s="39" t="s">
        <v>55</v>
      </c>
      <c r="L46" s="39" t="s">
        <v>613</v>
      </c>
    </row>
    <row r="47" spans="1:12" x14ac:dyDescent="0.25">
      <c r="A47" s="36" t="s">
        <v>664</v>
      </c>
      <c r="B47" s="38" t="s">
        <v>305</v>
      </c>
      <c r="C47" s="36" t="s">
        <v>432</v>
      </c>
      <c r="D47" s="37" t="s">
        <v>433</v>
      </c>
      <c r="E47" s="36" t="s">
        <v>552</v>
      </c>
      <c r="F47" s="37" t="s">
        <v>553</v>
      </c>
      <c r="G47" s="47">
        <v>2</v>
      </c>
      <c r="H47" s="46">
        <v>1699</v>
      </c>
      <c r="I47" s="57">
        <f t="shared" si="1"/>
        <v>3398</v>
      </c>
      <c r="J47" s="37" t="s">
        <v>612</v>
      </c>
      <c r="K47" s="39" t="s">
        <v>77</v>
      </c>
      <c r="L47" s="39" t="s">
        <v>613</v>
      </c>
    </row>
    <row r="48" spans="1:12" x14ac:dyDescent="0.25">
      <c r="A48" s="36" t="s">
        <v>665</v>
      </c>
      <c r="B48" s="38" t="s">
        <v>305</v>
      </c>
      <c r="C48" s="36" t="s">
        <v>438</v>
      </c>
      <c r="D48" s="37" t="s">
        <v>439</v>
      </c>
      <c r="E48" s="36" t="s">
        <v>562</v>
      </c>
      <c r="F48" s="37" t="s">
        <v>563</v>
      </c>
      <c r="G48" s="47">
        <v>5</v>
      </c>
      <c r="H48" s="46">
        <v>699</v>
      </c>
      <c r="I48" s="57">
        <f t="shared" si="1"/>
        <v>3495</v>
      </c>
      <c r="J48" s="37" t="s">
        <v>612</v>
      </c>
      <c r="K48" s="39" t="s">
        <v>32</v>
      </c>
      <c r="L48" s="39" t="s">
        <v>613</v>
      </c>
    </row>
    <row r="49" spans="1:12" x14ac:dyDescent="0.25">
      <c r="A49" s="36" t="s">
        <v>666</v>
      </c>
      <c r="B49" s="38" t="s">
        <v>394</v>
      </c>
      <c r="C49" s="36" t="s">
        <v>444</v>
      </c>
      <c r="D49" s="37" t="s">
        <v>445</v>
      </c>
      <c r="E49" s="36" t="s">
        <v>564</v>
      </c>
      <c r="F49" s="37" t="s">
        <v>565</v>
      </c>
      <c r="G49" s="47">
        <v>1</v>
      </c>
      <c r="H49" s="46">
        <v>16999</v>
      </c>
      <c r="I49" s="57">
        <f t="shared" si="1"/>
        <v>16999</v>
      </c>
      <c r="J49" s="37" t="s">
        <v>619</v>
      </c>
      <c r="K49" s="39" t="s">
        <v>116</v>
      </c>
      <c r="L49" s="39" t="s">
        <v>613</v>
      </c>
    </row>
    <row r="50" spans="1:12" x14ac:dyDescent="0.25">
      <c r="A50" s="36" t="s">
        <v>667</v>
      </c>
      <c r="B50" s="38" t="s">
        <v>394</v>
      </c>
      <c r="C50" s="36" t="s">
        <v>450</v>
      </c>
      <c r="D50" s="37" t="s">
        <v>451</v>
      </c>
      <c r="E50" s="36" t="s">
        <v>510</v>
      </c>
      <c r="F50" s="37" t="s">
        <v>511</v>
      </c>
      <c r="G50" s="47">
        <v>8</v>
      </c>
      <c r="H50" s="46">
        <v>260</v>
      </c>
      <c r="I50" s="57">
        <f t="shared" si="1"/>
        <v>2080</v>
      </c>
      <c r="J50" s="37" t="s">
        <v>616</v>
      </c>
      <c r="K50" s="39" t="s">
        <v>26</v>
      </c>
      <c r="L50" s="39" t="s">
        <v>631</v>
      </c>
    </row>
    <row r="51" spans="1:12" x14ac:dyDescent="0.25">
      <c r="A51" s="36" t="s">
        <v>668</v>
      </c>
      <c r="B51" s="38" t="s">
        <v>170</v>
      </c>
      <c r="C51" s="36" t="s">
        <v>456</v>
      </c>
      <c r="D51" s="37" t="s">
        <v>457</v>
      </c>
      <c r="E51" s="36" t="s">
        <v>492</v>
      </c>
      <c r="F51" s="37" t="s">
        <v>493</v>
      </c>
      <c r="G51" s="47">
        <v>1</v>
      </c>
      <c r="H51" s="46">
        <v>45000</v>
      </c>
      <c r="I51" s="57">
        <f t="shared" si="1"/>
        <v>45000</v>
      </c>
      <c r="J51" s="37" t="s">
        <v>612</v>
      </c>
      <c r="K51" s="39" t="s">
        <v>55</v>
      </c>
      <c r="L51" s="39" t="s">
        <v>613</v>
      </c>
    </row>
    <row r="52" spans="1:12" x14ac:dyDescent="0.25">
      <c r="A52" s="36" t="s">
        <v>669</v>
      </c>
      <c r="B52" s="38" t="s">
        <v>170</v>
      </c>
      <c r="C52" s="36" t="s">
        <v>461</v>
      </c>
      <c r="D52" s="37" t="s">
        <v>462</v>
      </c>
      <c r="E52" s="36" t="s">
        <v>496</v>
      </c>
      <c r="F52" s="37" t="s">
        <v>497</v>
      </c>
      <c r="G52" s="47">
        <v>4</v>
      </c>
      <c r="H52" s="46">
        <v>800</v>
      </c>
      <c r="I52" s="57">
        <f t="shared" si="1"/>
        <v>3200</v>
      </c>
      <c r="J52" s="37" t="s">
        <v>616</v>
      </c>
      <c r="K52" s="39" t="s">
        <v>32</v>
      </c>
      <c r="L52" s="39" t="s">
        <v>613</v>
      </c>
    </row>
    <row r="53" spans="1:12" x14ac:dyDescent="0.25">
      <c r="A53" s="36" t="s">
        <v>919</v>
      </c>
      <c r="B53" s="38" t="s">
        <v>827</v>
      </c>
      <c r="C53" s="36" t="s">
        <v>830</v>
      </c>
      <c r="D53" s="37" t="s">
        <v>828</v>
      </c>
      <c r="E53" s="36" t="s">
        <v>821</v>
      </c>
      <c r="F53" s="37" t="s">
        <v>820</v>
      </c>
      <c r="G53" s="47">
        <v>1</v>
      </c>
      <c r="H53" s="46">
        <v>3000</v>
      </c>
      <c r="I53" s="57">
        <v>3000</v>
      </c>
      <c r="J53" s="37" t="s">
        <v>616</v>
      </c>
      <c r="K53" s="39" t="s">
        <v>916</v>
      </c>
      <c r="L53" s="39" t="s">
        <v>613</v>
      </c>
    </row>
    <row r="54" spans="1:12" x14ac:dyDescent="0.25">
      <c r="A54" s="36" t="s">
        <v>920</v>
      </c>
      <c r="B54" s="38" t="s">
        <v>827</v>
      </c>
      <c r="C54" s="36" t="s">
        <v>244</v>
      </c>
      <c r="D54" s="37" t="s">
        <v>245</v>
      </c>
      <c r="E54" s="36" t="s">
        <v>506</v>
      </c>
      <c r="F54" s="37" t="s">
        <v>507</v>
      </c>
      <c r="G54" s="47">
        <v>1</v>
      </c>
      <c r="H54" s="46">
        <v>5999</v>
      </c>
      <c r="I54" s="57">
        <v>5999</v>
      </c>
      <c r="J54" s="37" t="s">
        <v>612</v>
      </c>
      <c r="K54" s="39" t="s">
        <v>32</v>
      </c>
      <c r="L54" s="39" t="s">
        <v>613</v>
      </c>
    </row>
    <row r="55" spans="1:12" x14ac:dyDescent="0.25">
      <c r="A55" s="36" t="s">
        <v>971</v>
      </c>
      <c r="B55" s="38">
        <v>46291</v>
      </c>
      <c r="C55" s="36" t="s">
        <v>261</v>
      </c>
      <c r="D55" s="37" t="s">
        <v>262</v>
      </c>
      <c r="E55" s="36" t="s">
        <v>504</v>
      </c>
      <c r="F55" s="37" t="s">
        <v>505</v>
      </c>
      <c r="G55" s="47">
        <v>2</v>
      </c>
      <c r="H55" s="46">
        <v>450</v>
      </c>
      <c r="I55" s="57">
        <v>900</v>
      </c>
      <c r="J55" s="37" t="s">
        <v>616</v>
      </c>
      <c r="K55" s="39" t="s">
        <v>101</v>
      </c>
      <c r="L55" s="39" t="s">
        <v>613</v>
      </c>
    </row>
    <row r="56" spans="1:12" x14ac:dyDescent="0.25">
      <c r="A56" s="20"/>
      <c r="B56" s="22"/>
      <c r="C56" s="20"/>
      <c r="D56" s="21"/>
      <c r="E56" s="20"/>
      <c r="F56" s="21"/>
      <c r="G56" s="48"/>
      <c r="H56" s="23"/>
      <c r="I56" s="23"/>
      <c r="J56" s="21"/>
      <c r="K56" s="21"/>
      <c r="L56" s="21"/>
    </row>
    <row r="57" spans="1:12" x14ac:dyDescent="0.25">
      <c r="A57" s="20"/>
      <c r="B57" s="22"/>
      <c r="C57" s="20"/>
      <c r="D57" s="21"/>
      <c r="E57" s="20"/>
      <c r="F57" s="21"/>
      <c r="G57" s="48"/>
      <c r="H57" s="23"/>
      <c r="I57" s="23"/>
      <c r="J57" s="21"/>
      <c r="K57" s="21"/>
      <c r="L57" s="21"/>
    </row>
    <row r="58" spans="1:12" x14ac:dyDescent="0.25">
      <c r="A58" s="20"/>
      <c r="B58" s="22"/>
      <c r="C58" s="20"/>
      <c r="D58" s="21"/>
      <c r="E58" s="20"/>
      <c r="F58" s="21"/>
      <c r="G58" s="48"/>
      <c r="H58" s="23"/>
      <c r="I58" s="23"/>
      <c r="J58" s="21"/>
      <c r="K58" s="21"/>
      <c r="L58" s="21"/>
    </row>
    <row r="59" spans="1:12" x14ac:dyDescent="0.25">
      <c r="A59" s="20"/>
      <c r="B59" s="22"/>
      <c r="C59" s="20"/>
      <c r="D59" s="21"/>
      <c r="E59" s="20"/>
      <c r="F59" s="21"/>
      <c r="G59" s="48"/>
      <c r="H59" s="23"/>
      <c r="I59" s="23"/>
      <c r="J59" s="21"/>
      <c r="K59" s="21"/>
      <c r="L59" s="21"/>
    </row>
    <row r="60" spans="1:12" x14ac:dyDescent="0.25">
      <c r="A60" s="20"/>
      <c r="B60" s="22"/>
      <c r="C60" s="20"/>
      <c r="D60" s="21"/>
      <c r="E60" s="20"/>
      <c r="F60" s="21"/>
      <c r="G60" s="48"/>
      <c r="H60" s="23"/>
      <c r="I60" s="23"/>
      <c r="J60" s="21"/>
      <c r="K60" s="21"/>
      <c r="L60" s="21"/>
    </row>
    <row r="61" spans="1:12" x14ac:dyDescent="0.25">
      <c r="A61" s="20"/>
      <c r="B61" s="22"/>
      <c r="C61" s="20"/>
      <c r="D61" s="21"/>
      <c r="E61" s="20"/>
      <c r="F61" s="21"/>
      <c r="G61" s="48"/>
      <c r="H61" s="23"/>
      <c r="I61" s="23"/>
      <c r="J61" s="21"/>
      <c r="K61" s="21"/>
      <c r="L61" s="21"/>
    </row>
    <row r="62" spans="1:12" x14ac:dyDescent="0.25">
      <c r="A62" s="20"/>
      <c r="B62" s="22"/>
      <c r="C62" s="20"/>
      <c r="D62" s="21"/>
      <c r="E62" s="20"/>
      <c r="F62" s="21"/>
      <c r="G62" s="48"/>
      <c r="H62" s="23"/>
      <c r="I62" s="23"/>
      <c r="J62" s="21"/>
      <c r="K62" s="21"/>
      <c r="L62" s="21"/>
    </row>
    <row r="63" spans="1:12" x14ac:dyDescent="0.25">
      <c r="A63" s="20"/>
      <c r="B63" s="22"/>
      <c r="C63" s="20"/>
      <c r="D63" s="21"/>
      <c r="E63" s="20"/>
      <c r="F63" s="21"/>
      <c r="G63" s="48"/>
      <c r="H63" s="23"/>
      <c r="I63" s="23"/>
      <c r="J63" s="21"/>
      <c r="K63" s="21"/>
      <c r="L63" s="21"/>
    </row>
    <row r="64" spans="1:12" x14ac:dyDescent="0.25">
      <c r="A64" s="20"/>
      <c r="B64" s="22"/>
      <c r="C64" s="20"/>
      <c r="D64" s="21"/>
      <c r="E64" s="20"/>
      <c r="F64" s="21"/>
      <c r="G64" s="48"/>
      <c r="H64" s="23"/>
      <c r="I64" s="23"/>
      <c r="J64" s="21"/>
      <c r="K64" s="21"/>
      <c r="L64" s="21"/>
    </row>
    <row r="65" spans="1:12" x14ac:dyDescent="0.25">
      <c r="A65" s="20"/>
      <c r="B65" s="22"/>
      <c r="C65" s="20"/>
      <c r="D65" s="21"/>
      <c r="E65" s="20"/>
      <c r="F65" s="21"/>
      <c r="G65" s="48"/>
      <c r="H65" s="23"/>
      <c r="I65" s="23"/>
      <c r="J65" s="21"/>
      <c r="K65" s="21"/>
      <c r="L65" s="21"/>
    </row>
    <row r="66" spans="1:12" x14ac:dyDescent="0.25">
      <c r="A66" s="20"/>
      <c r="B66" s="22"/>
      <c r="C66" s="20"/>
      <c r="D66" s="21"/>
      <c r="E66" s="20"/>
      <c r="F66" s="21"/>
      <c r="G66" s="48"/>
      <c r="H66" s="23"/>
      <c r="I66" s="23"/>
      <c r="J66" s="21"/>
      <c r="K66" s="21"/>
      <c r="L66" s="21"/>
    </row>
    <row r="67" spans="1:12" x14ac:dyDescent="0.25">
      <c r="A67" s="20"/>
      <c r="B67" s="22"/>
      <c r="C67" s="20"/>
      <c r="D67" s="21"/>
      <c r="E67" s="20"/>
      <c r="F67" s="21"/>
      <c r="G67" s="48"/>
      <c r="H67" s="23"/>
      <c r="I67" s="23"/>
      <c r="J67" s="21"/>
      <c r="K67" s="21"/>
      <c r="L67" s="21"/>
    </row>
    <row r="68" spans="1:12" x14ac:dyDescent="0.25">
      <c r="A68" s="20"/>
      <c r="B68" s="22"/>
      <c r="C68" s="20"/>
      <c r="D68" s="21"/>
      <c r="E68" s="20"/>
      <c r="F68" s="21"/>
      <c r="G68" s="48"/>
      <c r="H68" s="23"/>
      <c r="I68" s="23"/>
      <c r="J68" s="21"/>
      <c r="K68" s="21"/>
      <c r="L68" s="21"/>
    </row>
    <row r="69" spans="1:12" x14ac:dyDescent="0.25">
      <c r="A69" s="20"/>
      <c r="B69" s="22"/>
      <c r="C69" s="20"/>
      <c r="D69" s="21"/>
      <c r="E69" s="20"/>
      <c r="F69" s="21"/>
      <c r="G69" s="48"/>
      <c r="H69" s="23"/>
      <c r="I69" s="23"/>
      <c r="J69" s="21"/>
      <c r="K69" s="21"/>
      <c r="L69" s="21"/>
    </row>
    <row r="70" spans="1:12" x14ac:dyDescent="0.25">
      <c r="A70" s="20"/>
      <c r="B70" s="22"/>
      <c r="C70" s="20"/>
      <c r="D70" s="21"/>
      <c r="E70" s="20"/>
      <c r="F70" s="21"/>
      <c r="G70" s="48"/>
      <c r="H70" s="23"/>
      <c r="I70" s="23"/>
      <c r="J70" s="21"/>
      <c r="K70" s="21"/>
      <c r="L70" s="21"/>
    </row>
    <row r="71" spans="1:12" x14ac:dyDescent="0.25">
      <c r="A71" s="20"/>
      <c r="B71" s="22"/>
      <c r="C71" s="20"/>
      <c r="D71" s="21"/>
      <c r="E71" s="20"/>
      <c r="F71" s="21"/>
      <c r="G71" s="48"/>
      <c r="H71" s="23"/>
      <c r="I71" s="23"/>
      <c r="J71" s="21"/>
      <c r="K71" s="21"/>
      <c r="L71" s="21"/>
    </row>
    <row r="72" spans="1:12" x14ac:dyDescent="0.25">
      <c r="A72" s="20"/>
      <c r="B72" s="22"/>
      <c r="C72" s="20"/>
      <c r="D72" s="21"/>
      <c r="E72" s="20"/>
      <c r="F72" s="21"/>
      <c r="G72" s="48"/>
      <c r="H72" s="23"/>
      <c r="I72" s="23"/>
      <c r="J72" s="21"/>
      <c r="K72" s="21"/>
      <c r="L72" s="21"/>
    </row>
    <row r="73" spans="1:12" x14ac:dyDescent="0.25">
      <c r="A73" s="20"/>
      <c r="B73" s="22"/>
      <c r="C73" s="20"/>
      <c r="D73" s="21"/>
      <c r="E73" s="20"/>
      <c r="F73" s="21"/>
      <c r="G73" s="48"/>
      <c r="H73" s="23"/>
      <c r="I73" s="23"/>
      <c r="J73" s="21"/>
      <c r="K73" s="21"/>
      <c r="L73" s="21"/>
    </row>
    <row r="74" spans="1:12" x14ac:dyDescent="0.25">
      <c r="A74" s="20"/>
      <c r="B74" s="22"/>
      <c r="C74" s="20"/>
      <c r="D74" s="21"/>
      <c r="E74" s="20"/>
      <c r="F74" s="21"/>
      <c r="G74" s="48"/>
      <c r="H74" s="23"/>
      <c r="I74" s="23"/>
      <c r="J74" s="21"/>
      <c r="K74" s="21"/>
      <c r="L74" s="21"/>
    </row>
    <row r="75" spans="1:12" x14ac:dyDescent="0.25">
      <c r="A75" s="20"/>
      <c r="B75" s="22"/>
      <c r="C75" s="20"/>
      <c r="D75" s="21"/>
      <c r="E75" s="20"/>
      <c r="F75" s="21"/>
      <c r="G75" s="48"/>
      <c r="H75" s="23"/>
      <c r="I75" s="23"/>
      <c r="J75" s="21"/>
      <c r="K75" s="21"/>
      <c r="L75" s="21"/>
    </row>
    <row r="76" spans="1:12" x14ac:dyDescent="0.25">
      <c r="A76" s="20"/>
      <c r="B76" s="22"/>
      <c r="C76" s="20"/>
      <c r="D76" s="21"/>
      <c r="E76" s="20"/>
      <c r="F76" s="21"/>
      <c r="G76" s="48"/>
      <c r="H76" s="23"/>
      <c r="I76" s="23"/>
      <c r="J76" s="21"/>
      <c r="K76" s="21"/>
      <c r="L76" s="21"/>
    </row>
    <row r="77" spans="1:12" x14ac:dyDescent="0.25">
      <c r="A77" s="20"/>
      <c r="B77" s="22"/>
      <c r="C77" s="20"/>
      <c r="D77" s="21"/>
      <c r="E77" s="20"/>
      <c r="F77" s="21"/>
      <c r="G77" s="48"/>
      <c r="H77" s="23"/>
      <c r="I77" s="23"/>
      <c r="J77" s="21"/>
      <c r="K77" s="21"/>
      <c r="L77" s="21"/>
    </row>
    <row r="78" spans="1:12" x14ac:dyDescent="0.25">
      <c r="A78" s="20"/>
      <c r="B78" s="22"/>
      <c r="C78" s="20"/>
      <c r="D78" s="21"/>
      <c r="E78" s="20"/>
      <c r="F78" s="21"/>
      <c r="G78" s="48"/>
      <c r="H78" s="23"/>
      <c r="I78" s="23"/>
      <c r="J78" s="21"/>
      <c r="K78" s="21"/>
      <c r="L78" s="21"/>
    </row>
    <row r="79" spans="1:12" x14ac:dyDescent="0.25">
      <c r="A79" s="20"/>
      <c r="B79" s="22"/>
      <c r="C79" s="20"/>
      <c r="D79" s="21"/>
      <c r="E79" s="20"/>
      <c r="F79" s="21"/>
      <c r="G79" s="48"/>
      <c r="H79" s="23"/>
      <c r="I79" s="23"/>
      <c r="J79" s="21"/>
      <c r="K79" s="21"/>
      <c r="L79" s="21"/>
    </row>
    <row r="80" spans="1:12" x14ac:dyDescent="0.25">
      <c r="A80" s="20"/>
      <c r="B80" s="22"/>
      <c r="C80" s="20"/>
      <c r="D80" s="21"/>
      <c r="E80" s="20"/>
      <c r="F80" s="21"/>
      <c r="G80" s="48"/>
      <c r="H80" s="23"/>
      <c r="I80" s="23"/>
      <c r="J80" s="21"/>
      <c r="K80" s="21"/>
      <c r="L80" s="21"/>
    </row>
  </sheetData>
  <sheetProtection sheet="1" scenarios="1" formatColumns="0" sort="0" autoFilter="0"/>
  <mergeCells count="4">
    <mergeCell ref="A1:L1"/>
    <mergeCell ref="N2:O2"/>
    <mergeCell ref="N17:O17"/>
    <mergeCell ref="N18:O18"/>
  </mergeCells>
  <dataValidations count="3">
    <dataValidation type="list" allowBlank="1" showInputMessage="1" showErrorMessage="1" sqref="O11" xr:uid="{72DCD91F-3F9B-4ECE-90BF-3D60316C6380}">
      <formula1>$Q$1:$Q$3</formula1>
    </dataValidation>
    <dataValidation type="list" allowBlank="1" showInputMessage="1" showErrorMessage="1" sqref="O13" xr:uid="{B71DDC3B-D55E-44CC-914F-2994DAD0078A}">
      <formula1>$Q$5:$Q$7</formula1>
    </dataValidation>
    <dataValidation type="custom" allowBlank="1" showInputMessage="1" showErrorMessage="1" sqref="O8" xr:uid="{56E8093F-4152-4704-B084-F179DF9A2C9F}">
      <formula1>AND(ISNUMBER(O8),O8&gt;0,OR(O6="",AND(ISNUMBER(O19),O8&lt;=O19)))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oHome">
                <anchor moveWithCells="1" sizeWithCells="1">
                  <from>
                    <xdr:col>0</xdr:col>
                    <xdr:colOff>180975</xdr:colOff>
                    <xdr:row>0</xdr:row>
                    <xdr:rowOff>28575</xdr:rowOff>
                  </from>
                  <to>
                    <xdr:col>1</xdr:col>
                    <xdr:colOff>9525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AddSale">
                <anchor moveWithCells="1" sizeWithCells="1">
                  <from>
                    <xdr:col>13</xdr:col>
                    <xdr:colOff>47625</xdr:colOff>
                    <xdr:row>15</xdr:row>
                    <xdr:rowOff>190500</xdr:rowOff>
                  </from>
                  <to>
                    <xdr:col>13</xdr:col>
                    <xdr:colOff>1000125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ClearSaleForm">
                <anchor moveWithCells="1" sizeWithCells="1">
                  <from>
                    <xdr:col>13</xdr:col>
                    <xdr:colOff>1104900</xdr:colOff>
                    <xdr:row>16</xdr:row>
                    <xdr:rowOff>0</xdr:rowOff>
                  </from>
                  <to>
                    <xdr:col>14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4EF0-0E7A-40BC-8F2E-70C69DC40F1B}">
  <sheetPr codeName="Sheet6">
    <tabColor rgb="FF1B365D"/>
  </sheetPr>
  <dimension ref="A1:Q80"/>
  <sheetViews>
    <sheetView showGridLines="0" workbookViewId="0">
      <selection activeCell="M18" sqref="M18"/>
    </sheetView>
  </sheetViews>
  <sheetFormatPr defaultRowHeight="15" x14ac:dyDescent="0.25"/>
  <cols>
    <col min="1" max="1" width="19" customWidth="1"/>
    <col min="2" max="2" width="17.140625" customWidth="1"/>
    <col min="3" max="3" width="21" customWidth="1"/>
    <col min="4" max="4" width="26.7109375" customWidth="1"/>
    <col min="5" max="7" width="21" customWidth="1"/>
    <col min="8" max="8" width="17.140625" customWidth="1"/>
    <col min="9" max="10" width="19" customWidth="1"/>
    <col min="11" max="11" width="21" customWidth="1"/>
    <col min="12" max="12" width="22.85546875" customWidth="1"/>
    <col min="14" max="14" width="24.7109375" customWidth="1"/>
    <col min="15" max="15" width="30.42578125" customWidth="1"/>
  </cols>
  <sheetData>
    <row r="1" spans="1:17" ht="27.95" customHeight="1" thickBot="1" x14ac:dyDescent="0.3">
      <c r="A1" s="135" t="s">
        <v>670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Q1" s="59" t="s">
        <v>732</v>
      </c>
    </row>
    <row r="2" spans="1:17" ht="21.95" customHeight="1" x14ac:dyDescent="0.25">
      <c r="A2" s="6" t="s">
        <v>671</v>
      </c>
      <c r="B2" s="6" t="s">
        <v>672</v>
      </c>
      <c r="C2" s="6" t="s">
        <v>17</v>
      </c>
      <c r="D2" s="6" t="s">
        <v>18</v>
      </c>
      <c r="E2" s="6" t="s">
        <v>22</v>
      </c>
      <c r="F2" s="6" t="s">
        <v>673</v>
      </c>
      <c r="G2" s="6" t="s">
        <v>674</v>
      </c>
      <c r="H2" s="6" t="s">
        <v>675</v>
      </c>
      <c r="I2" s="6" t="s">
        <v>676</v>
      </c>
      <c r="J2" s="6" t="s">
        <v>677</v>
      </c>
      <c r="K2" s="6" t="s">
        <v>678</v>
      </c>
      <c r="L2" s="6" t="s">
        <v>679</v>
      </c>
      <c r="N2" s="145" t="s">
        <v>942</v>
      </c>
      <c r="O2" s="146"/>
      <c r="Q2" s="59" t="s">
        <v>733</v>
      </c>
    </row>
    <row r="3" spans="1:17" x14ac:dyDescent="0.25">
      <c r="A3" s="36" t="s">
        <v>680</v>
      </c>
      <c r="B3" s="36" t="s">
        <v>732</v>
      </c>
      <c r="C3" s="36" t="s">
        <v>26</v>
      </c>
      <c r="D3" s="37" t="s">
        <v>27</v>
      </c>
      <c r="E3" s="46">
        <v>30000</v>
      </c>
      <c r="F3" s="61">
        <v>26</v>
      </c>
      <c r="G3" s="61">
        <v>20</v>
      </c>
      <c r="H3" s="46">
        <v>500</v>
      </c>
      <c r="I3" s="46">
        <v>1500</v>
      </c>
      <c r="J3" s="46">
        <v>500</v>
      </c>
      <c r="K3" s="57">
        <v>24576.923076923078</v>
      </c>
      <c r="L3" s="39" t="s">
        <v>631</v>
      </c>
      <c r="N3" s="9" t="s">
        <v>672</v>
      </c>
      <c r="O3" s="63" t="s">
        <v>732</v>
      </c>
      <c r="Q3" s="1"/>
    </row>
    <row r="4" spans="1:17" x14ac:dyDescent="0.25">
      <c r="A4" s="36" t="s">
        <v>682</v>
      </c>
      <c r="B4" s="36" t="s">
        <v>732</v>
      </c>
      <c r="C4" s="36" t="s">
        <v>32</v>
      </c>
      <c r="D4" s="37" t="s">
        <v>33</v>
      </c>
      <c r="E4" s="46">
        <v>25000</v>
      </c>
      <c r="F4" s="61">
        <v>26</v>
      </c>
      <c r="G4" s="61">
        <v>25</v>
      </c>
      <c r="H4" s="46">
        <v>500</v>
      </c>
      <c r="I4" s="46">
        <v>1500</v>
      </c>
      <c r="J4" s="46">
        <v>300</v>
      </c>
      <c r="K4" s="57">
        <v>26700</v>
      </c>
      <c r="L4" s="39" t="s">
        <v>631</v>
      </c>
      <c r="N4" s="9" t="s">
        <v>17</v>
      </c>
      <c r="O4" s="28" t="s">
        <v>26</v>
      </c>
      <c r="Q4" s="1" t="s">
        <v>681</v>
      </c>
    </row>
    <row r="5" spans="1:17" x14ac:dyDescent="0.25">
      <c r="A5" s="36" t="s">
        <v>683</v>
      </c>
      <c r="B5" s="36" t="s">
        <v>732</v>
      </c>
      <c r="C5" s="36" t="s">
        <v>38</v>
      </c>
      <c r="D5" s="37" t="s">
        <v>39</v>
      </c>
      <c r="E5" s="46">
        <v>28000</v>
      </c>
      <c r="F5" s="61">
        <v>26</v>
      </c>
      <c r="G5" s="61">
        <v>26</v>
      </c>
      <c r="H5" s="46">
        <v>800</v>
      </c>
      <c r="I5" s="46">
        <v>1800</v>
      </c>
      <c r="J5" s="46">
        <v>400</v>
      </c>
      <c r="K5" s="57">
        <f t="shared" ref="K5:K34" si="0">E5+H5+I5-J5</f>
        <v>30200</v>
      </c>
      <c r="L5" s="39" t="s">
        <v>681</v>
      </c>
      <c r="N5" s="9" t="s">
        <v>18</v>
      </c>
      <c r="O5" s="51" t="str">
        <f>IF($O$4="","",IFERROR(_xlfn.XLOOKUP($O$4,EmployeeMaster[Employee ID],EmployeeMaster[Employee Name]),"Not found"))</f>
        <v>Rahul Sharma</v>
      </c>
      <c r="Q5" s="1" t="s">
        <v>631</v>
      </c>
    </row>
    <row r="6" spans="1:17" x14ac:dyDescent="0.25">
      <c r="A6" s="36" t="s">
        <v>684</v>
      </c>
      <c r="B6" s="36" t="s">
        <v>732</v>
      </c>
      <c r="C6" s="36" t="s">
        <v>44</v>
      </c>
      <c r="D6" s="37" t="s">
        <v>45</v>
      </c>
      <c r="E6" s="46">
        <v>35000</v>
      </c>
      <c r="F6" s="61">
        <v>26</v>
      </c>
      <c r="G6" s="61">
        <v>25</v>
      </c>
      <c r="H6" s="46">
        <v>1200</v>
      </c>
      <c r="I6" s="46">
        <v>2200</v>
      </c>
      <c r="J6" s="46">
        <v>600</v>
      </c>
      <c r="K6" s="57">
        <f t="shared" si="0"/>
        <v>37800</v>
      </c>
      <c r="L6" s="39" t="s">
        <v>681</v>
      </c>
      <c r="N6" s="9" t="s">
        <v>22</v>
      </c>
      <c r="O6" s="64">
        <f>IF($O$4="","",IFERROR(_xlfn.XLOOKUP($O$4,EmployeeMaster[Employee ID],EmployeeMaster[Basic Salary]),""))</f>
        <v>30000</v>
      </c>
    </row>
    <row r="7" spans="1:17" x14ac:dyDescent="0.25">
      <c r="A7" s="36" t="s">
        <v>685</v>
      </c>
      <c r="B7" s="36" t="s">
        <v>732</v>
      </c>
      <c r="C7" s="36" t="s">
        <v>50</v>
      </c>
      <c r="D7" s="37" t="s">
        <v>51</v>
      </c>
      <c r="E7" s="46">
        <v>22000</v>
      </c>
      <c r="F7" s="61">
        <v>26</v>
      </c>
      <c r="G7" s="61">
        <v>23</v>
      </c>
      <c r="H7" s="46">
        <v>0</v>
      </c>
      <c r="I7" s="46">
        <v>1200</v>
      </c>
      <c r="J7" s="46">
        <v>250</v>
      </c>
      <c r="K7" s="57">
        <f t="shared" si="0"/>
        <v>22950</v>
      </c>
      <c r="L7" s="39" t="s">
        <v>681</v>
      </c>
      <c r="N7" s="9" t="s">
        <v>673</v>
      </c>
      <c r="O7" s="52">
        <v>26</v>
      </c>
    </row>
    <row r="8" spans="1:17" x14ac:dyDescent="0.25">
      <c r="A8" s="36" t="s">
        <v>686</v>
      </c>
      <c r="B8" s="36" t="s">
        <v>732</v>
      </c>
      <c r="C8" s="36" t="s">
        <v>55</v>
      </c>
      <c r="D8" s="37" t="s">
        <v>56</v>
      </c>
      <c r="E8" s="46">
        <v>40000</v>
      </c>
      <c r="F8" s="61">
        <v>26</v>
      </c>
      <c r="G8" s="61">
        <v>26</v>
      </c>
      <c r="H8" s="46">
        <v>1500</v>
      </c>
      <c r="I8" s="46">
        <v>2500</v>
      </c>
      <c r="J8" s="46">
        <v>800</v>
      </c>
      <c r="K8" s="57">
        <f t="shared" si="0"/>
        <v>43200</v>
      </c>
      <c r="L8" s="39" t="s">
        <v>681</v>
      </c>
      <c r="N8" s="9" t="s">
        <v>674</v>
      </c>
      <c r="O8" s="52">
        <v>13</v>
      </c>
    </row>
    <row r="9" spans="1:17" x14ac:dyDescent="0.25">
      <c r="A9" s="36" t="s">
        <v>687</v>
      </c>
      <c r="B9" s="36" t="s">
        <v>732</v>
      </c>
      <c r="C9" s="36" t="s">
        <v>60</v>
      </c>
      <c r="D9" s="37" t="s">
        <v>61</v>
      </c>
      <c r="E9" s="46">
        <v>32000</v>
      </c>
      <c r="F9" s="61">
        <v>26</v>
      </c>
      <c r="G9" s="61">
        <v>25</v>
      </c>
      <c r="H9" s="46">
        <v>700</v>
      </c>
      <c r="I9" s="46">
        <v>1600</v>
      </c>
      <c r="J9" s="46">
        <v>350</v>
      </c>
      <c r="K9" s="57">
        <f t="shared" si="0"/>
        <v>33950</v>
      </c>
      <c r="L9" s="39" t="s">
        <v>681</v>
      </c>
      <c r="N9" s="9" t="s">
        <v>675</v>
      </c>
      <c r="O9" s="65">
        <v>1000</v>
      </c>
    </row>
    <row r="10" spans="1:17" x14ac:dyDescent="0.25">
      <c r="A10" s="36" t="s">
        <v>688</v>
      </c>
      <c r="B10" s="36" t="s">
        <v>732</v>
      </c>
      <c r="C10" s="36" t="s">
        <v>66</v>
      </c>
      <c r="D10" s="37" t="s">
        <v>67</v>
      </c>
      <c r="E10" s="46">
        <v>24000</v>
      </c>
      <c r="F10" s="61">
        <v>26</v>
      </c>
      <c r="G10" s="61">
        <v>20</v>
      </c>
      <c r="H10" s="46">
        <v>0</v>
      </c>
      <c r="I10" s="46">
        <v>800</v>
      </c>
      <c r="J10" s="46">
        <v>200</v>
      </c>
      <c r="K10" s="57">
        <f t="shared" si="0"/>
        <v>24600</v>
      </c>
      <c r="L10" s="39" t="s">
        <v>689</v>
      </c>
      <c r="N10" s="9" t="s">
        <v>676</v>
      </c>
      <c r="O10" s="65">
        <v>2000</v>
      </c>
    </row>
    <row r="11" spans="1:17" x14ac:dyDescent="0.25">
      <c r="A11" s="36" t="s">
        <v>690</v>
      </c>
      <c r="B11" s="36" t="s">
        <v>732</v>
      </c>
      <c r="C11" s="36" t="s">
        <v>72</v>
      </c>
      <c r="D11" s="37" t="s">
        <v>73</v>
      </c>
      <c r="E11" s="46">
        <v>38000</v>
      </c>
      <c r="F11" s="61">
        <v>26</v>
      </c>
      <c r="G11" s="61">
        <v>26</v>
      </c>
      <c r="H11" s="46">
        <v>1100</v>
      </c>
      <c r="I11" s="46">
        <v>2000</v>
      </c>
      <c r="J11" s="46">
        <v>550</v>
      </c>
      <c r="K11" s="57">
        <f t="shared" si="0"/>
        <v>40550</v>
      </c>
      <c r="L11" s="39" t="s">
        <v>681</v>
      </c>
      <c r="N11" s="9" t="s">
        <v>677</v>
      </c>
      <c r="O11" s="65">
        <v>500</v>
      </c>
    </row>
    <row r="12" spans="1:17" x14ac:dyDescent="0.25">
      <c r="A12" s="36" t="s">
        <v>691</v>
      </c>
      <c r="B12" s="36" t="s">
        <v>732</v>
      </c>
      <c r="C12" s="36" t="s">
        <v>77</v>
      </c>
      <c r="D12" s="37" t="s">
        <v>78</v>
      </c>
      <c r="E12" s="46">
        <v>25000</v>
      </c>
      <c r="F12" s="61">
        <v>26</v>
      </c>
      <c r="G12" s="61">
        <v>24</v>
      </c>
      <c r="H12" s="46">
        <v>400</v>
      </c>
      <c r="I12" s="46">
        <v>1400</v>
      </c>
      <c r="J12" s="46">
        <v>280</v>
      </c>
      <c r="K12" s="57">
        <f t="shared" si="0"/>
        <v>26520</v>
      </c>
      <c r="L12" s="39" t="s">
        <v>681</v>
      </c>
      <c r="N12" s="9" t="s">
        <v>678</v>
      </c>
      <c r="O12" s="45">
        <f>IFERROR(MAX(0,(O6/O7*O8)+O9+O10-O11),"")</f>
        <v>17500</v>
      </c>
    </row>
    <row r="13" spans="1:17" x14ac:dyDescent="0.25">
      <c r="A13" s="36" t="s">
        <v>692</v>
      </c>
      <c r="B13" s="36" t="s">
        <v>732</v>
      </c>
      <c r="C13" s="36" t="s">
        <v>81</v>
      </c>
      <c r="D13" s="37" t="s">
        <v>82</v>
      </c>
      <c r="E13" s="46">
        <v>27000</v>
      </c>
      <c r="F13" s="61">
        <v>26</v>
      </c>
      <c r="G13" s="61">
        <v>25</v>
      </c>
      <c r="H13" s="46">
        <v>600</v>
      </c>
      <c r="I13" s="46">
        <v>1500</v>
      </c>
      <c r="J13" s="46">
        <v>320</v>
      </c>
      <c r="K13" s="57">
        <f t="shared" si="0"/>
        <v>28780</v>
      </c>
      <c r="L13" s="39" t="s">
        <v>681</v>
      </c>
      <c r="N13" s="9" t="s">
        <v>679</v>
      </c>
      <c r="O13" s="10" t="s">
        <v>631</v>
      </c>
    </row>
    <row r="14" spans="1:17" x14ac:dyDescent="0.25">
      <c r="A14" s="36" t="s">
        <v>693</v>
      </c>
      <c r="B14" s="36" t="s">
        <v>732</v>
      </c>
      <c r="C14" s="36" t="s">
        <v>86</v>
      </c>
      <c r="D14" s="37" t="s">
        <v>87</v>
      </c>
      <c r="E14" s="46">
        <v>26000</v>
      </c>
      <c r="F14" s="61">
        <v>26</v>
      </c>
      <c r="G14" s="61">
        <v>26</v>
      </c>
      <c r="H14" s="46">
        <v>500</v>
      </c>
      <c r="I14" s="46">
        <v>1300</v>
      </c>
      <c r="J14" s="46">
        <v>300</v>
      </c>
      <c r="K14" s="57">
        <f t="shared" si="0"/>
        <v>27500</v>
      </c>
      <c r="L14" s="39" t="s">
        <v>681</v>
      </c>
      <c r="N14" s="7"/>
      <c r="O14" s="8"/>
    </row>
    <row r="15" spans="1:17" ht="15.75" thickBot="1" x14ac:dyDescent="0.3">
      <c r="A15" s="36" t="s">
        <v>694</v>
      </c>
      <c r="B15" s="36" t="s">
        <v>732</v>
      </c>
      <c r="C15" s="36" t="s">
        <v>91</v>
      </c>
      <c r="D15" s="37" t="s">
        <v>92</v>
      </c>
      <c r="E15" s="46">
        <v>20000</v>
      </c>
      <c r="F15" s="61">
        <v>26</v>
      </c>
      <c r="G15" s="61">
        <v>22</v>
      </c>
      <c r="H15" s="46">
        <v>0</v>
      </c>
      <c r="I15" s="46">
        <v>900</v>
      </c>
      <c r="J15" s="46">
        <v>180</v>
      </c>
      <c r="K15" s="57">
        <f t="shared" si="0"/>
        <v>20720</v>
      </c>
      <c r="L15" s="39" t="s">
        <v>631</v>
      </c>
      <c r="N15" s="9" t="s">
        <v>671</v>
      </c>
      <c r="O15" s="11" t="str">
        <f>"PAY"&amp;TEXT(COUNTA(PayrollRegister[Payroll ID])+1,"000")</f>
        <v>PAY052</v>
      </c>
    </row>
    <row r="16" spans="1:17" ht="15.75" thickBot="1" x14ac:dyDescent="0.3">
      <c r="A16" s="36" t="s">
        <v>695</v>
      </c>
      <c r="B16" s="36" t="s">
        <v>732</v>
      </c>
      <c r="C16" s="36" t="s">
        <v>96</v>
      </c>
      <c r="D16" s="37" t="s">
        <v>97</v>
      </c>
      <c r="E16" s="46">
        <v>30000</v>
      </c>
      <c r="F16" s="61">
        <v>26</v>
      </c>
      <c r="G16" s="61">
        <v>25</v>
      </c>
      <c r="H16" s="46">
        <v>900</v>
      </c>
      <c r="I16" s="46">
        <v>1700</v>
      </c>
      <c r="J16" s="46">
        <v>400</v>
      </c>
      <c r="K16" s="57">
        <f t="shared" si="0"/>
        <v>32200</v>
      </c>
      <c r="L16" s="39" t="s">
        <v>681</v>
      </c>
      <c r="N16" s="149" t="s">
        <v>798</v>
      </c>
      <c r="O16" s="150"/>
    </row>
    <row r="17" spans="1:15" ht="15.75" thickBot="1" x14ac:dyDescent="0.3">
      <c r="A17" s="36" t="s">
        <v>696</v>
      </c>
      <c r="B17" s="36" t="s">
        <v>732</v>
      </c>
      <c r="C17" s="36" t="s">
        <v>101</v>
      </c>
      <c r="D17" s="37" t="s">
        <v>102</v>
      </c>
      <c r="E17" s="46">
        <v>21000</v>
      </c>
      <c r="F17" s="61">
        <v>26</v>
      </c>
      <c r="G17" s="61">
        <v>24</v>
      </c>
      <c r="H17" s="46">
        <v>300</v>
      </c>
      <c r="I17" s="46">
        <v>1100</v>
      </c>
      <c r="J17" s="46">
        <v>220</v>
      </c>
      <c r="K17" s="57">
        <f t="shared" si="0"/>
        <v>22180</v>
      </c>
      <c r="L17" s="39" t="s">
        <v>681</v>
      </c>
      <c r="N17" s="133" t="s">
        <v>943</v>
      </c>
      <c r="O17" s="134"/>
    </row>
    <row r="18" spans="1:15" ht="18.75" x14ac:dyDescent="0.25">
      <c r="A18" s="36" t="s">
        <v>697</v>
      </c>
      <c r="B18" s="36" t="s">
        <v>732</v>
      </c>
      <c r="C18" s="36" t="s">
        <v>106</v>
      </c>
      <c r="D18" s="37" t="s">
        <v>107</v>
      </c>
      <c r="E18" s="46">
        <v>19000</v>
      </c>
      <c r="F18" s="61">
        <v>26</v>
      </c>
      <c r="G18" s="61">
        <v>26</v>
      </c>
      <c r="H18" s="46">
        <v>200</v>
      </c>
      <c r="I18" s="46">
        <v>1000</v>
      </c>
      <c r="J18" s="46">
        <v>200</v>
      </c>
      <c r="K18" s="57">
        <f t="shared" si="0"/>
        <v>20000</v>
      </c>
      <c r="L18" s="39" t="s">
        <v>681</v>
      </c>
      <c r="N18" s="151" t="s">
        <v>945</v>
      </c>
      <c r="O18" s="152"/>
    </row>
    <row r="19" spans="1:15" x14ac:dyDescent="0.25">
      <c r="A19" s="36" t="s">
        <v>698</v>
      </c>
      <c r="B19" s="36" t="s">
        <v>732</v>
      </c>
      <c r="C19" s="36" t="s">
        <v>111</v>
      </c>
      <c r="D19" s="37" t="s">
        <v>112</v>
      </c>
      <c r="E19" s="46">
        <v>42000</v>
      </c>
      <c r="F19" s="61">
        <v>26</v>
      </c>
      <c r="G19" s="61">
        <v>25</v>
      </c>
      <c r="H19" s="46">
        <v>1400</v>
      </c>
      <c r="I19" s="46">
        <v>2400</v>
      </c>
      <c r="J19" s="46">
        <v>700</v>
      </c>
      <c r="K19" s="57">
        <f t="shared" si="0"/>
        <v>45100</v>
      </c>
      <c r="L19" s="39" t="s">
        <v>681</v>
      </c>
      <c r="N19" s="7"/>
      <c r="O19" s="8"/>
    </row>
    <row r="20" spans="1:15" x14ac:dyDescent="0.25">
      <c r="A20" s="36" t="s">
        <v>699</v>
      </c>
      <c r="B20" s="36" t="s">
        <v>732</v>
      </c>
      <c r="C20" s="36" t="s">
        <v>116</v>
      </c>
      <c r="D20" s="37" t="s">
        <v>117</v>
      </c>
      <c r="E20" s="46">
        <v>25000</v>
      </c>
      <c r="F20" s="61">
        <v>26</v>
      </c>
      <c r="G20" s="61">
        <v>24</v>
      </c>
      <c r="H20" s="46">
        <v>450</v>
      </c>
      <c r="I20" s="46">
        <v>1400</v>
      </c>
      <c r="J20" s="46">
        <v>300</v>
      </c>
      <c r="K20" s="57">
        <f t="shared" si="0"/>
        <v>26550</v>
      </c>
      <c r="L20" s="39" t="s">
        <v>681</v>
      </c>
      <c r="N20" s="9" t="s">
        <v>671</v>
      </c>
      <c r="O20" s="28" t="s">
        <v>693</v>
      </c>
    </row>
    <row r="21" spans="1:15" x14ac:dyDescent="0.25">
      <c r="A21" s="36" t="s">
        <v>700</v>
      </c>
      <c r="B21" s="36" t="s">
        <v>732</v>
      </c>
      <c r="C21" s="36" t="s">
        <v>120</v>
      </c>
      <c r="D21" s="37" t="s">
        <v>121</v>
      </c>
      <c r="E21" s="46">
        <v>30000</v>
      </c>
      <c r="F21" s="61">
        <v>26</v>
      </c>
      <c r="G21" s="61">
        <v>26</v>
      </c>
      <c r="H21" s="46">
        <v>800</v>
      </c>
      <c r="I21" s="46">
        <v>1600</v>
      </c>
      <c r="J21" s="46">
        <v>380</v>
      </c>
      <c r="K21" s="57">
        <f t="shared" si="0"/>
        <v>32020</v>
      </c>
      <c r="L21" s="39" t="s">
        <v>681</v>
      </c>
      <c r="N21" s="9" t="s">
        <v>672</v>
      </c>
      <c r="O21" s="11" t="str">
        <f>IF($O$20="","",IFERROR(_xlfn.XLOOKUP($O$20,PayrollRegister[Payroll ID],PayrollRegister[Month]),"Not found"))</f>
        <v>Sep-2026</v>
      </c>
    </row>
    <row r="22" spans="1:15" x14ac:dyDescent="0.25">
      <c r="A22" s="36" t="s">
        <v>701</v>
      </c>
      <c r="B22" s="36" t="s">
        <v>732</v>
      </c>
      <c r="C22" s="36" t="s">
        <v>124</v>
      </c>
      <c r="D22" s="37" t="s">
        <v>125</v>
      </c>
      <c r="E22" s="46">
        <v>26000</v>
      </c>
      <c r="F22" s="61">
        <v>26</v>
      </c>
      <c r="G22" s="61">
        <v>25</v>
      </c>
      <c r="H22" s="46">
        <v>500</v>
      </c>
      <c r="I22" s="46">
        <v>1300</v>
      </c>
      <c r="J22" s="46">
        <v>260</v>
      </c>
      <c r="K22" s="57">
        <f t="shared" si="0"/>
        <v>27540</v>
      </c>
      <c r="L22" s="39" t="s">
        <v>681</v>
      </c>
      <c r="N22" s="9" t="s">
        <v>17</v>
      </c>
      <c r="O22" s="11" t="str">
        <f>IF($O$20="","",IFERROR(_xlfn.XLOOKUP($O$20,PayrollRegister[Payroll ID],PayrollRegister[Employee ID]),"Not found"))</f>
        <v>EMP012</v>
      </c>
    </row>
    <row r="23" spans="1:15" x14ac:dyDescent="0.25">
      <c r="A23" s="36" t="s">
        <v>702</v>
      </c>
      <c r="B23" s="36" t="s">
        <v>732</v>
      </c>
      <c r="C23" s="36" t="s">
        <v>129</v>
      </c>
      <c r="D23" s="37" t="s">
        <v>130</v>
      </c>
      <c r="E23" s="46">
        <v>29000</v>
      </c>
      <c r="F23" s="61">
        <v>26</v>
      </c>
      <c r="G23" s="61">
        <v>26</v>
      </c>
      <c r="H23" s="46">
        <v>700</v>
      </c>
      <c r="I23" s="46">
        <v>1500</v>
      </c>
      <c r="J23" s="46">
        <v>340</v>
      </c>
      <c r="K23" s="57">
        <f t="shared" si="0"/>
        <v>30860</v>
      </c>
      <c r="L23" s="39" t="s">
        <v>681</v>
      </c>
      <c r="N23" s="9" t="s">
        <v>18</v>
      </c>
      <c r="O23" s="12" t="str">
        <f>IF($O$20="","",IFERROR(_xlfn.XLOOKUP($O$20,PayrollRegister[Payroll ID],PayrollRegister[Employee Name]),"Not found"))</f>
        <v>Arjun Malhotra</v>
      </c>
    </row>
    <row r="24" spans="1:15" x14ac:dyDescent="0.25">
      <c r="A24" s="36" t="s">
        <v>703</v>
      </c>
      <c r="B24" s="36" t="s">
        <v>732</v>
      </c>
      <c r="C24" s="36" t="s">
        <v>134</v>
      </c>
      <c r="D24" s="37" t="s">
        <v>135</v>
      </c>
      <c r="E24" s="46">
        <v>18000</v>
      </c>
      <c r="F24" s="61">
        <v>26</v>
      </c>
      <c r="G24" s="61">
        <v>18</v>
      </c>
      <c r="H24" s="46">
        <v>0</v>
      </c>
      <c r="I24" s="46">
        <v>600</v>
      </c>
      <c r="J24" s="46">
        <v>150</v>
      </c>
      <c r="K24" s="57">
        <f t="shared" si="0"/>
        <v>18450</v>
      </c>
      <c r="L24" s="39" t="s">
        <v>689</v>
      </c>
      <c r="N24" s="9" t="s">
        <v>22</v>
      </c>
      <c r="O24" s="45">
        <f>IF($O$20="","",IFERROR(_xlfn.XLOOKUP($O$20,PayrollRegister[Payroll ID],PayrollRegister[Basic Salary]),"Not found"))</f>
        <v>26000</v>
      </c>
    </row>
    <row r="25" spans="1:15" x14ac:dyDescent="0.25">
      <c r="A25" s="36" t="s">
        <v>704</v>
      </c>
      <c r="B25" s="36" t="s">
        <v>732</v>
      </c>
      <c r="C25" s="36" t="s">
        <v>139</v>
      </c>
      <c r="D25" s="37" t="s">
        <v>140</v>
      </c>
      <c r="E25" s="46">
        <v>28000</v>
      </c>
      <c r="F25" s="61">
        <v>26</v>
      </c>
      <c r="G25" s="61">
        <v>25</v>
      </c>
      <c r="H25" s="46">
        <v>650</v>
      </c>
      <c r="I25" s="46">
        <v>1400</v>
      </c>
      <c r="J25" s="46">
        <v>300</v>
      </c>
      <c r="K25" s="57">
        <f t="shared" si="0"/>
        <v>29750</v>
      </c>
      <c r="L25" s="39" t="s">
        <v>681</v>
      </c>
      <c r="N25" s="9" t="s">
        <v>674</v>
      </c>
      <c r="O25" s="60">
        <f>IF($O$20="","",IFERROR(_xlfn.XLOOKUP($O$20,PayrollRegister[Payroll ID],PayrollRegister[Present Days]),"Not found"))</f>
        <v>26</v>
      </c>
    </row>
    <row r="26" spans="1:15" x14ac:dyDescent="0.25">
      <c r="A26" s="36" t="s">
        <v>705</v>
      </c>
      <c r="B26" s="36" t="s">
        <v>732</v>
      </c>
      <c r="C26" s="36" t="s">
        <v>144</v>
      </c>
      <c r="D26" s="37" t="s">
        <v>145</v>
      </c>
      <c r="E26" s="46">
        <v>18000</v>
      </c>
      <c r="F26" s="61">
        <v>26</v>
      </c>
      <c r="G26" s="61">
        <v>23</v>
      </c>
      <c r="H26" s="46">
        <v>200</v>
      </c>
      <c r="I26" s="46">
        <v>900</v>
      </c>
      <c r="J26" s="46">
        <v>180</v>
      </c>
      <c r="K26" s="57">
        <f t="shared" si="0"/>
        <v>18920</v>
      </c>
      <c r="L26" s="39" t="s">
        <v>631</v>
      </c>
      <c r="N26" s="9" t="s">
        <v>678</v>
      </c>
      <c r="O26" s="45">
        <f>IF($O$20="","",IFERROR(_xlfn.XLOOKUP($O$20,PayrollRegister[Payroll ID],PayrollRegister[Net Salary]),"Not found"))</f>
        <v>27500</v>
      </c>
    </row>
    <row r="27" spans="1:15" ht="15.75" thickBot="1" x14ac:dyDescent="0.3">
      <c r="A27" s="36" t="s">
        <v>706</v>
      </c>
      <c r="B27" s="36" t="s">
        <v>732</v>
      </c>
      <c r="C27" s="36" t="s">
        <v>149</v>
      </c>
      <c r="D27" s="37" t="s">
        <v>150</v>
      </c>
      <c r="E27" s="46">
        <v>33000</v>
      </c>
      <c r="F27" s="61">
        <v>26</v>
      </c>
      <c r="G27" s="61">
        <v>26</v>
      </c>
      <c r="H27" s="46">
        <v>1000</v>
      </c>
      <c r="I27" s="46">
        <v>1800</v>
      </c>
      <c r="J27" s="46">
        <v>450</v>
      </c>
      <c r="K27" s="57">
        <f t="shared" si="0"/>
        <v>35350</v>
      </c>
      <c r="L27" s="39" t="s">
        <v>681</v>
      </c>
      <c r="N27" s="34" t="s">
        <v>679</v>
      </c>
      <c r="O27" s="35" t="str">
        <f>IF($O$20="","",IFERROR(_xlfn.XLOOKUP($O$20,PayrollRegister[Payroll ID],PayrollRegister[Payment Status]),"Not found"))</f>
        <v>Paid</v>
      </c>
    </row>
    <row r="28" spans="1:15" x14ac:dyDescent="0.25">
      <c r="A28" s="36" t="s">
        <v>707</v>
      </c>
      <c r="B28" s="36" t="s">
        <v>733</v>
      </c>
      <c r="C28" s="36" t="s">
        <v>26</v>
      </c>
      <c r="D28" s="37" t="s">
        <v>27</v>
      </c>
      <c r="E28" s="46">
        <v>30000</v>
      </c>
      <c r="F28" s="61">
        <v>26</v>
      </c>
      <c r="G28" s="61">
        <v>26</v>
      </c>
      <c r="H28" s="46">
        <v>900</v>
      </c>
      <c r="I28" s="46">
        <v>2000</v>
      </c>
      <c r="J28" s="46">
        <v>480</v>
      </c>
      <c r="K28" s="57">
        <f t="shared" si="0"/>
        <v>32420</v>
      </c>
      <c r="L28" s="39" t="s">
        <v>681</v>
      </c>
    </row>
    <row r="29" spans="1:15" ht="15.75" thickBot="1" x14ac:dyDescent="0.3">
      <c r="A29" s="36" t="s">
        <v>708</v>
      </c>
      <c r="B29" s="36" t="s">
        <v>733</v>
      </c>
      <c r="C29" s="36" t="s">
        <v>32</v>
      </c>
      <c r="D29" s="37" t="s">
        <v>33</v>
      </c>
      <c r="E29" s="46">
        <v>25000</v>
      </c>
      <c r="F29" s="61">
        <v>26</v>
      </c>
      <c r="G29" s="61">
        <v>25</v>
      </c>
      <c r="H29" s="46">
        <v>400</v>
      </c>
      <c r="I29" s="46">
        <v>1500</v>
      </c>
      <c r="J29" s="46">
        <v>280</v>
      </c>
      <c r="K29" s="57">
        <f t="shared" si="0"/>
        <v>26620</v>
      </c>
      <c r="L29" s="39" t="s">
        <v>681</v>
      </c>
    </row>
    <row r="30" spans="1:15" ht="18.75" x14ac:dyDescent="0.25">
      <c r="A30" s="36" t="s">
        <v>709</v>
      </c>
      <c r="B30" s="36" t="s">
        <v>733</v>
      </c>
      <c r="C30" s="36" t="s">
        <v>38</v>
      </c>
      <c r="D30" s="37" t="s">
        <v>39</v>
      </c>
      <c r="E30" s="46">
        <v>28000</v>
      </c>
      <c r="F30" s="61">
        <v>26</v>
      </c>
      <c r="G30" s="61">
        <v>24</v>
      </c>
      <c r="H30" s="46">
        <v>600</v>
      </c>
      <c r="I30" s="46">
        <v>1600</v>
      </c>
      <c r="J30" s="46">
        <v>350</v>
      </c>
      <c r="K30" s="57">
        <f t="shared" si="0"/>
        <v>29850</v>
      </c>
      <c r="L30" s="39" t="s">
        <v>681</v>
      </c>
      <c r="N30" s="145" t="s">
        <v>946</v>
      </c>
      <c r="O30" s="146"/>
    </row>
    <row r="31" spans="1:15" x14ac:dyDescent="0.25">
      <c r="A31" s="36" t="s">
        <v>710</v>
      </c>
      <c r="B31" s="36" t="s">
        <v>733</v>
      </c>
      <c r="C31" s="36" t="s">
        <v>44</v>
      </c>
      <c r="D31" s="37" t="s">
        <v>45</v>
      </c>
      <c r="E31" s="46">
        <v>35000</v>
      </c>
      <c r="F31" s="61">
        <v>26</v>
      </c>
      <c r="G31" s="61">
        <v>26</v>
      </c>
      <c r="H31" s="46">
        <v>1000</v>
      </c>
      <c r="I31" s="46">
        <v>2100</v>
      </c>
      <c r="J31" s="46">
        <v>500</v>
      </c>
      <c r="K31" s="57">
        <f t="shared" si="0"/>
        <v>37600</v>
      </c>
      <c r="L31" s="39" t="s">
        <v>681</v>
      </c>
      <c r="N31" s="7"/>
      <c r="O31" s="8"/>
    </row>
    <row r="32" spans="1:15" x14ac:dyDescent="0.25">
      <c r="A32" s="36" t="s">
        <v>711</v>
      </c>
      <c r="B32" s="36" t="s">
        <v>733</v>
      </c>
      <c r="C32" s="36" t="s">
        <v>50</v>
      </c>
      <c r="D32" s="37" t="s">
        <v>51</v>
      </c>
      <c r="E32" s="46">
        <v>22000</v>
      </c>
      <c r="F32" s="61">
        <v>26</v>
      </c>
      <c r="G32" s="61">
        <v>25</v>
      </c>
      <c r="H32" s="46">
        <v>200</v>
      </c>
      <c r="I32" s="46">
        <v>1100</v>
      </c>
      <c r="J32" s="46">
        <v>220</v>
      </c>
      <c r="K32" s="57">
        <f t="shared" si="0"/>
        <v>23080</v>
      </c>
      <c r="L32" s="39" t="s">
        <v>681</v>
      </c>
      <c r="N32" s="9" t="s">
        <v>671</v>
      </c>
      <c r="O32" s="28" t="s">
        <v>948</v>
      </c>
    </row>
    <row r="33" spans="1:15" x14ac:dyDescent="0.25">
      <c r="A33" s="36" t="s">
        <v>712</v>
      </c>
      <c r="B33" s="36" t="s">
        <v>733</v>
      </c>
      <c r="C33" s="36" t="s">
        <v>55</v>
      </c>
      <c r="D33" s="37" t="s">
        <v>56</v>
      </c>
      <c r="E33" s="46">
        <v>40000</v>
      </c>
      <c r="F33" s="61">
        <v>26</v>
      </c>
      <c r="G33" s="61">
        <v>26</v>
      </c>
      <c r="H33" s="46">
        <v>1300</v>
      </c>
      <c r="I33" s="46">
        <v>2400</v>
      </c>
      <c r="J33" s="46">
        <v>750</v>
      </c>
      <c r="K33" s="57">
        <f t="shared" si="0"/>
        <v>42950</v>
      </c>
      <c r="L33" s="39" t="s">
        <v>681</v>
      </c>
      <c r="N33" s="9" t="s">
        <v>672</v>
      </c>
      <c r="O33" s="63" t="s">
        <v>732</v>
      </c>
    </row>
    <row r="34" spans="1:15" x14ac:dyDescent="0.25">
      <c r="A34" s="36" t="s">
        <v>713</v>
      </c>
      <c r="B34" s="36" t="s">
        <v>733</v>
      </c>
      <c r="C34" s="36" t="s">
        <v>60</v>
      </c>
      <c r="D34" s="37" t="s">
        <v>61</v>
      </c>
      <c r="E34" s="46">
        <v>32000</v>
      </c>
      <c r="F34" s="61">
        <v>26</v>
      </c>
      <c r="G34" s="61">
        <v>25</v>
      </c>
      <c r="H34" s="46">
        <v>500</v>
      </c>
      <c r="I34" s="46">
        <v>1500</v>
      </c>
      <c r="J34" s="46">
        <v>320</v>
      </c>
      <c r="K34" s="57">
        <f t="shared" si="0"/>
        <v>33680</v>
      </c>
      <c r="L34" s="39" t="s">
        <v>681</v>
      </c>
      <c r="N34" s="9" t="s">
        <v>673</v>
      </c>
      <c r="O34" s="52">
        <v>26</v>
      </c>
    </row>
    <row r="35" spans="1:15" x14ac:dyDescent="0.25">
      <c r="A35" s="36" t="s">
        <v>714</v>
      </c>
      <c r="B35" s="36" t="s">
        <v>733</v>
      </c>
      <c r="C35" s="36" t="s">
        <v>66</v>
      </c>
      <c r="D35" s="37" t="s">
        <v>67</v>
      </c>
      <c r="E35" s="46">
        <v>24000</v>
      </c>
      <c r="F35" s="61">
        <v>26</v>
      </c>
      <c r="G35" s="61">
        <v>21</v>
      </c>
      <c r="H35" s="46">
        <v>0</v>
      </c>
      <c r="I35" s="46">
        <v>700</v>
      </c>
      <c r="J35" s="46">
        <v>180</v>
      </c>
      <c r="K35" s="57">
        <f t="shared" ref="K35:K52" si="1">E35+H35+I35-J35</f>
        <v>24520</v>
      </c>
      <c r="L35" s="39" t="s">
        <v>689</v>
      </c>
      <c r="N35" s="9" t="s">
        <v>674</v>
      </c>
      <c r="O35" s="52">
        <v>20</v>
      </c>
    </row>
    <row r="36" spans="1:15" x14ac:dyDescent="0.25">
      <c r="A36" s="36" t="s">
        <v>715</v>
      </c>
      <c r="B36" s="36" t="s">
        <v>733</v>
      </c>
      <c r="C36" s="36" t="s">
        <v>72</v>
      </c>
      <c r="D36" s="37" t="s">
        <v>73</v>
      </c>
      <c r="E36" s="46">
        <v>38000</v>
      </c>
      <c r="F36" s="61">
        <v>26</v>
      </c>
      <c r="G36" s="61">
        <v>26</v>
      </c>
      <c r="H36" s="46">
        <v>900</v>
      </c>
      <c r="I36" s="46">
        <v>1900</v>
      </c>
      <c r="J36" s="46">
        <v>500</v>
      </c>
      <c r="K36" s="57">
        <f t="shared" si="1"/>
        <v>40300</v>
      </c>
      <c r="L36" s="39" t="s">
        <v>681</v>
      </c>
      <c r="N36" s="9" t="s">
        <v>675</v>
      </c>
      <c r="O36" s="65">
        <v>500</v>
      </c>
    </row>
    <row r="37" spans="1:15" x14ac:dyDescent="0.25">
      <c r="A37" s="36" t="s">
        <v>716</v>
      </c>
      <c r="B37" s="36" t="s">
        <v>733</v>
      </c>
      <c r="C37" s="36" t="s">
        <v>77</v>
      </c>
      <c r="D37" s="37" t="s">
        <v>78</v>
      </c>
      <c r="E37" s="46">
        <v>25000</v>
      </c>
      <c r="F37" s="61">
        <v>26</v>
      </c>
      <c r="G37" s="61">
        <v>23</v>
      </c>
      <c r="H37" s="46">
        <v>300</v>
      </c>
      <c r="I37" s="46">
        <v>1300</v>
      </c>
      <c r="J37" s="46">
        <v>250</v>
      </c>
      <c r="K37" s="57">
        <f t="shared" si="1"/>
        <v>26350</v>
      </c>
      <c r="L37" s="39" t="s">
        <v>681</v>
      </c>
      <c r="N37" s="9" t="s">
        <v>676</v>
      </c>
      <c r="O37" s="65">
        <v>1500</v>
      </c>
    </row>
    <row r="38" spans="1:15" x14ac:dyDescent="0.25">
      <c r="A38" s="36" t="s">
        <v>717</v>
      </c>
      <c r="B38" s="36" t="s">
        <v>733</v>
      </c>
      <c r="C38" s="36" t="s">
        <v>81</v>
      </c>
      <c r="D38" s="37" t="s">
        <v>82</v>
      </c>
      <c r="E38" s="46">
        <v>27000</v>
      </c>
      <c r="F38" s="61">
        <v>26</v>
      </c>
      <c r="G38" s="61">
        <v>26</v>
      </c>
      <c r="H38" s="46">
        <v>550</v>
      </c>
      <c r="I38" s="46">
        <v>1400</v>
      </c>
      <c r="J38" s="46">
        <v>300</v>
      </c>
      <c r="K38" s="57">
        <f t="shared" si="1"/>
        <v>28650</v>
      </c>
      <c r="L38" s="39" t="s">
        <v>681</v>
      </c>
      <c r="N38" s="9" t="s">
        <v>677</v>
      </c>
      <c r="O38" s="65">
        <v>500</v>
      </c>
    </row>
    <row r="39" spans="1:15" x14ac:dyDescent="0.25">
      <c r="A39" s="36" t="s">
        <v>718</v>
      </c>
      <c r="B39" s="36" t="s">
        <v>733</v>
      </c>
      <c r="C39" s="36" t="s">
        <v>86</v>
      </c>
      <c r="D39" s="37" t="s">
        <v>87</v>
      </c>
      <c r="E39" s="46">
        <v>26000</v>
      </c>
      <c r="F39" s="61">
        <v>26</v>
      </c>
      <c r="G39" s="61">
        <v>25</v>
      </c>
      <c r="H39" s="46">
        <v>400</v>
      </c>
      <c r="I39" s="46">
        <v>1200</v>
      </c>
      <c r="J39" s="46">
        <v>280</v>
      </c>
      <c r="K39" s="57">
        <f t="shared" si="1"/>
        <v>27320</v>
      </c>
      <c r="L39" s="39" t="s">
        <v>681</v>
      </c>
      <c r="N39" s="9" t="s">
        <v>679</v>
      </c>
      <c r="O39" s="28" t="s">
        <v>631</v>
      </c>
    </row>
    <row r="40" spans="1:15" ht="15.75" thickBot="1" x14ac:dyDescent="0.3">
      <c r="A40" s="36" t="s">
        <v>719</v>
      </c>
      <c r="B40" s="36" t="s">
        <v>733</v>
      </c>
      <c r="C40" s="36" t="s">
        <v>91</v>
      </c>
      <c r="D40" s="37" t="s">
        <v>92</v>
      </c>
      <c r="E40" s="46">
        <v>20000</v>
      </c>
      <c r="F40" s="61">
        <v>26</v>
      </c>
      <c r="G40" s="61">
        <v>24</v>
      </c>
      <c r="H40" s="46">
        <v>0</v>
      </c>
      <c r="I40" s="46">
        <v>850</v>
      </c>
      <c r="J40" s="46">
        <v>170</v>
      </c>
      <c r="K40" s="57">
        <f t="shared" si="1"/>
        <v>20680</v>
      </c>
      <c r="L40" s="39" t="s">
        <v>681</v>
      </c>
      <c r="N40" s="7"/>
      <c r="O40" s="8"/>
    </row>
    <row r="41" spans="1:15" ht="15.75" thickBot="1" x14ac:dyDescent="0.3">
      <c r="A41" s="36" t="s">
        <v>720</v>
      </c>
      <c r="B41" s="36" t="s">
        <v>733</v>
      </c>
      <c r="C41" s="36" t="s">
        <v>96</v>
      </c>
      <c r="D41" s="37" t="s">
        <v>97</v>
      </c>
      <c r="E41" s="46">
        <v>30000</v>
      </c>
      <c r="F41" s="61">
        <v>26</v>
      </c>
      <c r="G41" s="61">
        <v>26</v>
      </c>
      <c r="H41" s="46">
        <v>800</v>
      </c>
      <c r="I41" s="46">
        <v>1600</v>
      </c>
      <c r="J41" s="46">
        <v>380</v>
      </c>
      <c r="K41" s="57">
        <f t="shared" si="1"/>
        <v>32020</v>
      </c>
      <c r="L41" s="39" t="s">
        <v>681</v>
      </c>
      <c r="N41" s="133" t="s">
        <v>947</v>
      </c>
      <c r="O41" s="134"/>
    </row>
    <row r="42" spans="1:15" x14ac:dyDescent="0.25">
      <c r="A42" s="36" t="s">
        <v>721</v>
      </c>
      <c r="B42" s="36" t="s">
        <v>733</v>
      </c>
      <c r="C42" s="36" t="s">
        <v>101</v>
      </c>
      <c r="D42" s="37" t="s">
        <v>102</v>
      </c>
      <c r="E42" s="46">
        <v>21000</v>
      </c>
      <c r="F42" s="61">
        <v>26</v>
      </c>
      <c r="G42" s="61">
        <v>25</v>
      </c>
      <c r="H42" s="46">
        <v>250</v>
      </c>
      <c r="I42" s="46">
        <v>1000</v>
      </c>
      <c r="J42" s="46">
        <v>200</v>
      </c>
      <c r="K42" s="57">
        <f t="shared" si="1"/>
        <v>22050</v>
      </c>
      <c r="L42" s="39" t="s">
        <v>681</v>
      </c>
    </row>
    <row r="43" spans="1:15" x14ac:dyDescent="0.25">
      <c r="A43" s="36" t="s">
        <v>722</v>
      </c>
      <c r="B43" s="36" t="s">
        <v>733</v>
      </c>
      <c r="C43" s="36" t="s">
        <v>106</v>
      </c>
      <c r="D43" s="37" t="s">
        <v>107</v>
      </c>
      <c r="E43" s="46">
        <v>19000</v>
      </c>
      <c r="F43" s="61">
        <v>26</v>
      </c>
      <c r="G43" s="61">
        <v>24</v>
      </c>
      <c r="H43" s="46">
        <v>150</v>
      </c>
      <c r="I43" s="46">
        <v>900</v>
      </c>
      <c r="J43" s="46">
        <v>180</v>
      </c>
      <c r="K43" s="57">
        <f t="shared" si="1"/>
        <v>19870</v>
      </c>
      <c r="L43" s="39" t="s">
        <v>681</v>
      </c>
    </row>
    <row r="44" spans="1:15" x14ac:dyDescent="0.25">
      <c r="A44" s="36" t="s">
        <v>723</v>
      </c>
      <c r="B44" s="36" t="s">
        <v>733</v>
      </c>
      <c r="C44" s="36" t="s">
        <v>111</v>
      </c>
      <c r="D44" s="37" t="s">
        <v>112</v>
      </c>
      <c r="E44" s="46">
        <v>42000</v>
      </c>
      <c r="F44" s="61">
        <v>26</v>
      </c>
      <c r="G44" s="61">
        <v>26</v>
      </c>
      <c r="H44" s="46">
        <v>1200</v>
      </c>
      <c r="I44" s="46">
        <v>2300</v>
      </c>
      <c r="J44" s="46">
        <v>650</v>
      </c>
      <c r="K44" s="57">
        <f t="shared" si="1"/>
        <v>44850</v>
      </c>
      <c r="L44" s="39" t="s">
        <v>681</v>
      </c>
    </row>
    <row r="45" spans="1:15" x14ac:dyDescent="0.25">
      <c r="A45" s="36" t="s">
        <v>724</v>
      </c>
      <c r="B45" s="36" t="s">
        <v>733</v>
      </c>
      <c r="C45" s="36" t="s">
        <v>116</v>
      </c>
      <c r="D45" s="37" t="s">
        <v>117</v>
      </c>
      <c r="E45" s="46">
        <v>25000</v>
      </c>
      <c r="F45" s="61">
        <v>26</v>
      </c>
      <c r="G45" s="61">
        <v>25</v>
      </c>
      <c r="H45" s="46">
        <v>400</v>
      </c>
      <c r="I45" s="46">
        <v>1300</v>
      </c>
      <c r="J45" s="46">
        <v>280</v>
      </c>
      <c r="K45" s="57">
        <f t="shared" si="1"/>
        <v>26420</v>
      </c>
      <c r="L45" s="39" t="s">
        <v>681</v>
      </c>
    </row>
    <row r="46" spans="1:15" x14ac:dyDescent="0.25">
      <c r="A46" s="36" t="s">
        <v>725</v>
      </c>
      <c r="B46" s="36" t="s">
        <v>733</v>
      </c>
      <c r="C46" s="36" t="s">
        <v>120</v>
      </c>
      <c r="D46" s="37" t="s">
        <v>121</v>
      </c>
      <c r="E46" s="46">
        <v>30000</v>
      </c>
      <c r="F46" s="61">
        <v>26</v>
      </c>
      <c r="G46" s="61">
        <v>26</v>
      </c>
      <c r="H46" s="46">
        <v>700</v>
      </c>
      <c r="I46" s="46">
        <v>1500</v>
      </c>
      <c r="J46" s="46">
        <v>360</v>
      </c>
      <c r="K46" s="57">
        <f t="shared" si="1"/>
        <v>31840</v>
      </c>
      <c r="L46" s="39" t="s">
        <v>681</v>
      </c>
    </row>
    <row r="47" spans="1:15" x14ac:dyDescent="0.25">
      <c r="A47" s="36" t="s">
        <v>726</v>
      </c>
      <c r="B47" s="36" t="s">
        <v>733</v>
      </c>
      <c r="C47" s="36" t="s">
        <v>124</v>
      </c>
      <c r="D47" s="37" t="s">
        <v>125</v>
      </c>
      <c r="E47" s="46">
        <v>26000</v>
      </c>
      <c r="F47" s="61">
        <v>26</v>
      </c>
      <c r="G47" s="61">
        <v>24</v>
      </c>
      <c r="H47" s="46">
        <v>350</v>
      </c>
      <c r="I47" s="46">
        <v>1200</v>
      </c>
      <c r="J47" s="46">
        <v>240</v>
      </c>
      <c r="K47" s="57">
        <f t="shared" si="1"/>
        <v>27310</v>
      </c>
      <c r="L47" s="39" t="s">
        <v>681</v>
      </c>
    </row>
    <row r="48" spans="1:15" x14ac:dyDescent="0.25">
      <c r="A48" s="36" t="s">
        <v>727</v>
      </c>
      <c r="B48" s="36" t="s">
        <v>733</v>
      </c>
      <c r="C48" s="36" t="s">
        <v>129</v>
      </c>
      <c r="D48" s="37" t="s">
        <v>130</v>
      </c>
      <c r="E48" s="46">
        <v>29000</v>
      </c>
      <c r="F48" s="61">
        <v>26</v>
      </c>
      <c r="G48" s="61">
        <v>25</v>
      </c>
      <c r="H48" s="46">
        <v>600</v>
      </c>
      <c r="I48" s="46">
        <v>1400</v>
      </c>
      <c r="J48" s="46">
        <v>320</v>
      </c>
      <c r="K48" s="57">
        <f t="shared" si="1"/>
        <v>30680</v>
      </c>
      <c r="L48" s="39" t="s">
        <v>681</v>
      </c>
    </row>
    <row r="49" spans="1:12" x14ac:dyDescent="0.25">
      <c r="A49" s="36" t="s">
        <v>728</v>
      </c>
      <c r="B49" s="36" t="s">
        <v>733</v>
      </c>
      <c r="C49" s="36" t="s">
        <v>134</v>
      </c>
      <c r="D49" s="37" t="s">
        <v>135</v>
      </c>
      <c r="E49" s="46">
        <v>18000</v>
      </c>
      <c r="F49" s="61">
        <v>26</v>
      </c>
      <c r="G49" s="61">
        <v>19</v>
      </c>
      <c r="H49" s="46">
        <v>0</v>
      </c>
      <c r="I49" s="46">
        <v>500</v>
      </c>
      <c r="J49" s="46">
        <v>120</v>
      </c>
      <c r="K49" s="57">
        <f t="shared" si="1"/>
        <v>18380</v>
      </c>
      <c r="L49" s="39" t="s">
        <v>689</v>
      </c>
    </row>
    <row r="50" spans="1:12" x14ac:dyDescent="0.25">
      <c r="A50" s="36" t="s">
        <v>729</v>
      </c>
      <c r="B50" s="36" t="s">
        <v>733</v>
      </c>
      <c r="C50" s="36" t="s">
        <v>139</v>
      </c>
      <c r="D50" s="37" t="s">
        <v>140</v>
      </c>
      <c r="E50" s="46">
        <v>28000</v>
      </c>
      <c r="F50" s="61">
        <v>26</v>
      </c>
      <c r="G50" s="61">
        <v>26</v>
      </c>
      <c r="H50" s="46">
        <v>500</v>
      </c>
      <c r="I50" s="46">
        <v>1300</v>
      </c>
      <c r="J50" s="46">
        <v>280</v>
      </c>
      <c r="K50" s="57">
        <f t="shared" si="1"/>
        <v>29520</v>
      </c>
      <c r="L50" s="39" t="s">
        <v>681</v>
      </c>
    </row>
    <row r="51" spans="1:12" x14ac:dyDescent="0.25">
      <c r="A51" s="36" t="s">
        <v>730</v>
      </c>
      <c r="B51" s="36" t="s">
        <v>733</v>
      </c>
      <c r="C51" s="36" t="s">
        <v>144</v>
      </c>
      <c r="D51" s="37" t="s">
        <v>145</v>
      </c>
      <c r="E51" s="46">
        <v>18000</v>
      </c>
      <c r="F51" s="61">
        <v>26</v>
      </c>
      <c r="G51" s="61">
        <v>25</v>
      </c>
      <c r="H51" s="46">
        <v>150</v>
      </c>
      <c r="I51" s="46">
        <v>850</v>
      </c>
      <c r="J51" s="46">
        <v>160</v>
      </c>
      <c r="K51" s="57">
        <f t="shared" si="1"/>
        <v>18840</v>
      </c>
      <c r="L51" s="39" t="s">
        <v>681</v>
      </c>
    </row>
    <row r="52" spans="1:12" x14ac:dyDescent="0.25">
      <c r="A52" s="36" t="s">
        <v>731</v>
      </c>
      <c r="B52" s="36" t="s">
        <v>733</v>
      </c>
      <c r="C52" s="36" t="s">
        <v>149</v>
      </c>
      <c r="D52" s="37" t="s">
        <v>150</v>
      </c>
      <c r="E52" s="46">
        <v>33000</v>
      </c>
      <c r="F52" s="61">
        <v>26</v>
      </c>
      <c r="G52" s="61">
        <v>26</v>
      </c>
      <c r="H52" s="46">
        <v>900</v>
      </c>
      <c r="I52" s="46">
        <v>1700</v>
      </c>
      <c r="J52" s="46">
        <v>420</v>
      </c>
      <c r="K52" s="57">
        <f t="shared" si="1"/>
        <v>35180</v>
      </c>
      <c r="L52" s="39" t="s">
        <v>681</v>
      </c>
    </row>
    <row r="53" spans="1:12" x14ac:dyDescent="0.25">
      <c r="A53" s="36" t="s">
        <v>944</v>
      </c>
      <c r="B53" s="36" t="s">
        <v>732</v>
      </c>
      <c r="C53" s="36" t="s">
        <v>26</v>
      </c>
      <c r="D53" s="37" t="s">
        <v>27</v>
      </c>
      <c r="E53" s="46">
        <v>30000</v>
      </c>
      <c r="F53" s="61">
        <v>26</v>
      </c>
      <c r="G53" s="61">
        <v>20</v>
      </c>
      <c r="H53" s="46">
        <v>500</v>
      </c>
      <c r="I53" s="46">
        <v>1000</v>
      </c>
      <c r="J53" s="46">
        <v>200</v>
      </c>
      <c r="K53" s="57">
        <v>31300</v>
      </c>
      <c r="L53" s="39" t="s">
        <v>631</v>
      </c>
    </row>
    <row r="54" spans="1:12" x14ac:dyDescent="0.25">
      <c r="A54" s="20"/>
      <c r="B54" s="20"/>
      <c r="C54" s="20"/>
      <c r="D54" s="21"/>
      <c r="E54" s="23"/>
      <c r="F54" s="62"/>
      <c r="G54" s="62"/>
      <c r="H54" s="23"/>
      <c r="I54" s="23"/>
      <c r="J54" s="23"/>
      <c r="K54" s="23"/>
      <c r="L54" s="21"/>
    </row>
    <row r="55" spans="1:12" x14ac:dyDescent="0.25">
      <c r="A55" s="20"/>
      <c r="B55" s="20"/>
      <c r="C55" s="20"/>
      <c r="D55" s="21"/>
      <c r="E55" s="23"/>
      <c r="F55" s="62"/>
      <c r="G55" s="62"/>
      <c r="H55" s="23"/>
      <c r="I55" s="23"/>
      <c r="J55" s="23"/>
      <c r="K55" s="23"/>
      <c r="L55" s="21"/>
    </row>
    <row r="56" spans="1:12" x14ac:dyDescent="0.25">
      <c r="A56" s="20"/>
      <c r="B56" s="20"/>
      <c r="C56" s="20"/>
      <c r="D56" s="21"/>
      <c r="E56" s="23"/>
      <c r="F56" s="62"/>
      <c r="G56" s="62"/>
      <c r="H56" s="23"/>
      <c r="I56" s="23"/>
      <c r="J56" s="23"/>
      <c r="K56" s="23"/>
      <c r="L56" s="21"/>
    </row>
    <row r="57" spans="1:12" x14ac:dyDescent="0.25">
      <c r="A57" s="20"/>
      <c r="B57" s="20"/>
      <c r="C57" s="20"/>
      <c r="D57" s="21"/>
      <c r="E57" s="23"/>
      <c r="F57" s="62"/>
      <c r="G57" s="62"/>
      <c r="H57" s="23"/>
      <c r="I57" s="23"/>
      <c r="J57" s="23"/>
      <c r="K57" s="23"/>
      <c r="L57" s="21"/>
    </row>
    <row r="58" spans="1:12" x14ac:dyDescent="0.25">
      <c r="A58" s="20"/>
      <c r="B58" s="20"/>
      <c r="C58" s="20"/>
      <c r="D58" s="21"/>
      <c r="E58" s="23"/>
      <c r="F58" s="62"/>
      <c r="G58" s="62"/>
      <c r="H58" s="23"/>
      <c r="I58" s="23"/>
      <c r="J58" s="23"/>
      <c r="K58" s="23"/>
      <c r="L58" s="21"/>
    </row>
    <row r="59" spans="1:12" x14ac:dyDescent="0.25">
      <c r="A59" s="20"/>
      <c r="B59" s="20"/>
      <c r="C59" s="20"/>
      <c r="D59" s="21"/>
      <c r="E59" s="23"/>
      <c r="F59" s="62"/>
      <c r="G59" s="62"/>
      <c r="H59" s="23"/>
      <c r="I59" s="23"/>
      <c r="J59" s="23"/>
      <c r="K59" s="23"/>
      <c r="L59" s="21"/>
    </row>
    <row r="60" spans="1:12" x14ac:dyDescent="0.25">
      <c r="A60" s="20"/>
      <c r="B60" s="20"/>
      <c r="C60" s="20"/>
      <c r="D60" s="21"/>
      <c r="E60" s="23"/>
      <c r="F60" s="62"/>
      <c r="G60" s="62"/>
      <c r="H60" s="23"/>
      <c r="I60" s="23"/>
      <c r="J60" s="23"/>
      <c r="K60" s="23"/>
      <c r="L60" s="21"/>
    </row>
    <row r="61" spans="1:12" x14ac:dyDescent="0.25">
      <c r="A61" s="20"/>
      <c r="B61" s="20"/>
      <c r="C61" s="20"/>
      <c r="D61" s="21"/>
      <c r="E61" s="23"/>
      <c r="F61" s="62"/>
      <c r="G61" s="62"/>
      <c r="H61" s="23"/>
      <c r="I61" s="23"/>
      <c r="J61" s="23"/>
      <c r="K61" s="23"/>
      <c r="L61" s="21"/>
    </row>
    <row r="62" spans="1:12" x14ac:dyDescent="0.25">
      <c r="A62" s="20"/>
      <c r="B62" s="20"/>
      <c r="C62" s="20"/>
      <c r="D62" s="21"/>
      <c r="E62" s="23"/>
      <c r="F62" s="62"/>
      <c r="G62" s="62"/>
      <c r="H62" s="23"/>
      <c r="I62" s="23"/>
      <c r="J62" s="23"/>
      <c r="K62" s="23"/>
      <c r="L62" s="21"/>
    </row>
    <row r="63" spans="1:12" x14ac:dyDescent="0.25">
      <c r="A63" s="20"/>
      <c r="B63" s="20"/>
      <c r="C63" s="20"/>
      <c r="D63" s="21"/>
      <c r="E63" s="23"/>
      <c r="F63" s="62"/>
      <c r="G63" s="62"/>
      <c r="H63" s="23"/>
      <c r="I63" s="23"/>
      <c r="J63" s="23"/>
      <c r="K63" s="23"/>
      <c r="L63" s="21"/>
    </row>
    <row r="64" spans="1:12" x14ac:dyDescent="0.25">
      <c r="A64" s="20"/>
      <c r="B64" s="20"/>
      <c r="C64" s="20"/>
      <c r="D64" s="21"/>
      <c r="E64" s="23"/>
      <c r="F64" s="62"/>
      <c r="G64" s="62"/>
      <c r="H64" s="23"/>
      <c r="I64" s="23"/>
      <c r="J64" s="23"/>
      <c r="K64" s="23"/>
      <c r="L64" s="21"/>
    </row>
    <row r="65" spans="1:12" x14ac:dyDescent="0.25">
      <c r="A65" s="20"/>
      <c r="B65" s="20"/>
      <c r="C65" s="20"/>
      <c r="D65" s="21"/>
      <c r="E65" s="23"/>
      <c r="F65" s="62"/>
      <c r="G65" s="62"/>
      <c r="H65" s="23"/>
      <c r="I65" s="23"/>
      <c r="J65" s="23"/>
      <c r="K65" s="23"/>
      <c r="L65" s="21"/>
    </row>
    <row r="66" spans="1:12" x14ac:dyDescent="0.25">
      <c r="A66" s="20"/>
      <c r="B66" s="20"/>
      <c r="C66" s="20"/>
      <c r="D66" s="21"/>
      <c r="E66" s="23"/>
      <c r="F66" s="62"/>
      <c r="G66" s="62"/>
      <c r="H66" s="23"/>
      <c r="I66" s="23"/>
      <c r="J66" s="23"/>
      <c r="K66" s="23"/>
      <c r="L66" s="21"/>
    </row>
    <row r="67" spans="1:12" x14ac:dyDescent="0.25">
      <c r="A67" s="20"/>
      <c r="B67" s="20"/>
      <c r="C67" s="20"/>
      <c r="D67" s="21"/>
      <c r="E67" s="23"/>
      <c r="F67" s="62"/>
      <c r="G67" s="62"/>
      <c r="H67" s="23"/>
      <c r="I67" s="23"/>
      <c r="J67" s="23"/>
      <c r="K67" s="23"/>
      <c r="L67" s="21"/>
    </row>
    <row r="68" spans="1:12" x14ac:dyDescent="0.25">
      <c r="A68" s="20"/>
      <c r="B68" s="20"/>
      <c r="C68" s="20"/>
      <c r="D68" s="21"/>
      <c r="E68" s="23"/>
      <c r="F68" s="62"/>
      <c r="G68" s="62"/>
      <c r="H68" s="23"/>
      <c r="I68" s="23"/>
      <c r="J68" s="23"/>
      <c r="K68" s="23"/>
      <c r="L68" s="21"/>
    </row>
    <row r="69" spans="1:12" x14ac:dyDescent="0.25">
      <c r="A69" s="20"/>
      <c r="B69" s="20"/>
      <c r="C69" s="20"/>
      <c r="D69" s="21"/>
      <c r="E69" s="23"/>
      <c r="F69" s="62"/>
      <c r="G69" s="62"/>
      <c r="H69" s="23"/>
      <c r="I69" s="23"/>
      <c r="J69" s="23"/>
      <c r="K69" s="23"/>
      <c r="L69" s="21"/>
    </row>
    <row r="70" spans="1:12" x14ac:dyDescent="0.25">
      <c r="A70" s="20"/>
      <c r="B70" s="20"/>
      <c r="C70" s="20"/>
      <c r="D70" s="21"/>
      <c r="E70" s="23"/>
      <c r="F70" s="62"/>
      <c r="G70" s="62"/>
      <c r="H70" s="23"/>
      <c r="I70" s="23"/>
      <c r="J70" s="23"/>
      <c r="K70" s="23"/>
      <c r="L70" s="21"/>
    </row>
    <row r="71" spans="1:12" x14ac:dyDescent="0.25">
      <c r="A71" s="20"/>
      <c r="B71" s="20"/>
      <c r="C71" s="20"/>
      <c r="D71" s="21"/>
      <c r="E71" s="23"/>
      <c r="F71" s="62"/>
      <c r="G71" s="62"/>
      <c r="H71" s="23"/>
      <c r="I71" s="23"/>
      <c r="J71" s="23"/>
      <c r="K71" s="23"/>
      <c r="L71" s="21"/>
    </row>
    <row r="72" spans="1:12" x14ac:dyDescent="0.25">
      <c r="A72" s="20"/>
      <c r="B72" s="20"/>
      <c r="C72" s="20"/>
      <c r="D72" s="21"/>
      <c r="E72" s="23"/>
      <c r="F72" s="62"/>
      <c r="G72" s="62"/>
      <c r="H72" s="23"/>
      <c r="I72" s="23"/>
      <c r="J72" s="23"/>
      <c r="K72" s="23"/>
      <c r="L72" s="21"/>
    </row>
    <row r="73" spans="1:12" x14ac:dyDescent="0.25">
      <c r="A73" s="20"/>
      <c r="B73" s="20"/>
      <c r="C73" s="20"/>
      <c r="D73" s="21"/>
      <c r="E73" s="23"/>
      <c r="F73" s="62"/>
      <c r="G73" s="62"/>
      <c r="H73" s="23"/>
      <c r="I73" s="23"/>
      <c r="J73" s="23"/>
      <c r="K73" s="23"/>
      <c r="L73" s="21"/>
    </row>
    <row r="74" spans="1:12" x14ac:dyDescent="0.25">
      <c r="A74" s="20"/>
      <c r="B74" s="20"/>
      <c r="C74" s="20"/>
      <c r="D74" s="21"/>
      <c r="E74" s="23"/>
      <c r="F74" s="62"/>
      <c r="G74" s="62"/>
      <c r="H74" s="23"/>
      <c r="I74" s="23"/>
      <c r="J74" s="23"/>
      <c r="K74" s="23"/>
      <c r="L74" s="21"/>
    </row>
    <row r="75" spans="1:12" x14ac:dyDescent="0.25">
      <c r="A75" s="20"/>
      <c r="B75" s="20"/>
      <c r="C75" s="20"/>
      <c r="D75" s="21"/>
      <c r="E75" s="23"/>
      <c r="F75" s="62"/>
      <c r="G75" s="62"/>
      <c r="H75" s="23"/>
      <c r="I75" s="23"/>
      <c r="J75" s="23"/>
      <c r="K75" s="23"/>
      <c r="L75" s="21"/>
    </row>
    <row r="76" spans="1:12" x14ac:dyDescent="0.25">
      <c r="A76" s="20"/>
      <c r="B76" s="20"/>
      <c r="C76" s="20"/>
      <c r="D76" s="21"/>
      <c r="E76" s="23"/>
      <c r="F76" s="62"/>
      <c r="G76" s="62"/>
      <c r="H76" s="23"/>
      <c r="I76" s="23"/>
      <c r="J76" s="23"/>
      <c r="K76" s="23"/>
      <c r="L76" s="21"/>
    </row>
    <row r="77" spans="1:12" x14ac:dyDescent="0.25">
      <c r="A77" s="20"/>
      <c r="B77" s="20"/>
      <c r="C77" s="20"/>
      <c r="D77" s="21"/>
      <c r="E77" s="23"/>
      <c r="F77" s="62"/>
      <c r="G77" s="62"/>
      <c r="H77" s="23"/>
      <c r="I77" s="23"/>
      <c r="J77" s="23"/>
      <c r="K77" s="23"/>
      <c r="L77" s="21"/>
    </row>
    <row r="78" spans="1:12" x14ac:dyDescent="0.25">
      <c r="A78" s="20"/>
      <c r="B78" s="20"/>
      <c r="C78" s="20"/>
      <c r="D78" s="21"/>
      <c r="E78" s="23"/>
      <c r="F78" s="62"/>
      <c r="G78" s="62"/>
      <c r="H78" s="23"/>
      <c r="I78" s="23"/>
      <c r="J78" s="23"/>
      <c r="K78" s="23"/>
      <c r="L78" s="21"/>
    </row>
    <row r="79" spans="1:12" x14ac:dyDescent="0.25">
      <c r="A79" s="20"/>
      <c r="B79" s="20"/>
      <c r="C79" s="20"/>
      <c r="D79" s="21"/>
      <c r="E79" s="23"/>
      <c r="F79" s="62"/>
      <c r="G79" s="62"/>
      <c r="H79" s="23"/>
      <c r="I79" s="23"/>
      <c r="J79" s="23"/>
      <c r="K79" s="23"/>
      <c r="L79" s="21"/>
    </row>
    <row r="80" spans="1:12" x14ac:dyDescent="0.25">
      <c r="A80" s="20"/>
      <c r="B80" s="20"/>
      <c r="C80" s="20"/>
      <c r="D80" s="21"/>
      <c r="E80" s="23"/>
      <c r="F80" s="62"/>
      <c r="G80" s="62"/>
      <c r="H80" s="23"/>
      <c r="I80" s="23"/>
      <c r="J80" s="23"/>
      <c r="K80" s="23"/>
      <c r="L80" s="21"/>
    </row>
  </sheetData>
  <sheetProtection sheet="1" scenarios="1" formatColumns="0" sort="0" autoFilter="0"/>
  <mergeCells count="7">
    <mergeCell ref="N41:O41"/>
    <mergeCell ref="N16:O16"/>
    <mergeCell ref="A1:L1"/>
    <mergeCell ref="N2:O2"/>
    <mergeCell ref="N17:O17"/>
    <mergeCell ref="N18:O18"/>
    <mergeCell ref="N30:O30"/>
  </mergeCells>
  <dataValidations count="2">
    <dataValidation type="list" allowBlank="1" showInputMessage="1" showErrorMessage="1" sqref="O33 O3" xr:uid="{A2149902-23C8-4E74-B2FB-DBEC2518ACC8}">
      <formula1>$Q$1:$Q$2</formula1>
    </dataValidation>
    <dataValidation type="list" allowBlank="1" showInputMessage="1" showErrorMessage="1" sqref="O39 O13" xr:uid="{772C9F23-B8E1-4147-B96C-FB03A4C6BC72}">
      <formula1>$Q$4:$Q$5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GoHome">
                <anchor moveWithCells="1" sizeWithCells="1">
                  <from>
                    <xdr:col>0</xdr:col>
                    <xdr:colOff>180975</xdr:colOff>
                    <xdr:row>0</xdr:row>
                    <xdr:rowOff>28575</xdr:rowOff>
                  </from>
                  <to>
                    <xdr:col>0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ddPayroll">
                <anchor moveWithCells="1" sizeWithCells="1">
                  <from>
                    <xdr:col>13</xdr:col>
                    <xdr:colOff>38100</xdr:colOff>
                    <xdr:row>15</xdr:row>
                    <xdr:rowOff>171450</xdr:rowOff>
                  </from>
                  <to>
                    <xdr:col>13</xdr:col>
                    <xdr:colOff>1104900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learPayrollForm">
                <anchor moveWithCells="1" sizeWithCells="1">
                  <from>
                    <xdr:col>13</xdr:col>
                    <xdr:colOff>1238250</xdr:colOff>
                    <xdr:row>15</xdr:row>
                    <xdr:rowOff>180975</xdr:rowOff>
                  </from>
                  <to>
                    <xdr:col>14</xdr:col>
                    <xdr:colOff>657225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LoadPayrollForEdit">
                <anchor moveWithCells="1" sizeWithCells="1">
                  <from>
                    <xdr:col>12</xdr:col>
                    <xdr:colOff>590550</xdr:colOff>
                    <xdr:row>39</xdr:row>
                    <xdr:rowOff>180975</xdr:rowOff>
                  </from>
                  <to>
                    <xdr:col>13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UpdatePayroll">
                <anchor moveWithCells="1" sizeWithCells="1">
                  <from>
                    <xdr:col>13</xdr:col>
                    <xdr:colOff>1219200</xdr:colOff>
                    <xdr:row>39</xdr:row>
                    <xdr:rowOff>190500</xdr:rowOff>
                  </from>
                  <to>
                    <xdr:col>14</xdr:col>
                    <xdr:colOff>723900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Button 10">
              <controlPr defaultSize="0" print="0" autoFill="0" autoPict="0" macro="[0]!DeletePayroll">
                <anchor moveWithCells="1" sizeWithCells="1">
                  <from>
                    <xdr:col>14</xdr:col>
                    <xdr:colOff>876300</xdr:colOff>
                    <xdr:row>39</xdr:row>
                    <xdr:rowOff>161925</xdr:rowOff>
                  </from>
                  <to>
                    <xdr:col>15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03406-F2A2-445E-A02F-88456930CCDA}">
  <sheetPr codeName="Sheet7">
    <tabColor rgb="FF1B365D"/>
  </sheetPr>
  <dimension ref="A1:AJ80"/>
  <sheetViews>
    <sheetView showGridLines="0" zoomScaleNormal="100" workbookViewId="0">
      <selection activeCell="P8" sqref="P8"/>
    </sheetView>
  </sheetViews>
  <sheetFormatPr defaultRowHeight="15" x14ac:dyDescent="0.25"/>
  <cols>
    <col min="1" max="8" width="16.7109375" customWidth="1"/>
    <col min="10" max="10" width="21" style="2" hidden="1" customWidth="1"/>
    <col min="11" max="11" width="21" hidden="1" customWidth="1"/>
    <col min="12" max="12" width="21" customWidth="1"/>
    <col min="13" max="14" width="21" hidden="1" customWidth="1"/>
    <col min="32" max="36" width="0" hidden="1" customWidth="1"/>
  </cols>
  <sheetData>
    <row r="1" spans="1:36" ht="32.1" customHeight="1" x14ac:dyDescent="0.25">
      <c r="A1" s="172" t="s">
        <v>734</v>
      </c>
      <c r="B1" s="173"/>
      <c r="C1" s="173"/>
      <c r="D1" s="173"/>
      <c r="E1" s="173"/>
      <c r="F1" s="173"/>
      <c r="G1" s="173"/>
      <c r="H1" s="174"/>
      <c r="J1" s="66" t="s">
        <v>744</v>
      </c>
      <c r="K1" s="67" t="s">
        <v>34</v>
      </c>
      <c r="M1" s="68" t="s">
        <v>745</v>
      </c>
      <c r="N1" s="68" t="s">
        <v>746</v>
      </c>
      <c r="AA1" s="69" t="s">
        <v>744</v>
      </c>
      <c r="AB1" s="67" t="s">
        <v>34</v>
      </c>
    </row>
    <row r="2" spans="1:36" ht="20.100000000000001" customHeight="1" thickBot="1" x14ac:dyDescent="0.3">
      <c r="A2" s="175" t="str">
        <f>SETTINGS!C15</f>
        <v>Sep-2026</v>
      </c>
      <c r="B2" s="176"/>
      <c r="C2" s="176"/>
      <c r="D2" s="176"/>
      <c r="E2" s="176"/>
      <c r="F2" s="176"/>
      <c r="G2" s="176"/>
      <c r="H2" s="177"/>
      <c r="J2" s="70" t="s">
        <v>170</v>
      </c>
      <c r="K2" s="71">
        <f>SUMIFS(SALES!I:I,SALES!B:B,J2)</f>
        <v>48200</v>
      </c>
      <c r="M2" t="str" cm="1">
        <f t="array" ref="M2:M36">_xlfn.UNIQUE(_xlfn._xlws.FILTER(SALES!F3:F500,SALES!F3:F500&lt;&gt;""))</f>
        <v>Laptop</v>
      </c>
      <c r="N2" s="71">
        <f>IF(M2="","",SUMIF(SALES!F:F,M2,SALES!I:I))</f>
        <v>135000</v>
      </c>
      <c r="AA2" s="70" t="s">
        <v>170</v>
      </c>
      <c r="AB2" s="71">
        <f>SUMIFS(SALES!I:I,SALES!B:B,AA2)</f>
        <v>48200</v>
      </c>
      <c r="AF2" t="str" cm="1">
        <f t="array" ref="AF2:AJ12">IFERROR(_xlfn._xlws.SORT(_xlfn._xlws.FILTER(CHOOSE({1,2,3,4,5},INVENTORY!A3:A80,INVENTORY!B3:B80,INVENTORY!J3:J80,INVENTORY!K3:K80,INVENTORY!L3:L80),(INVENTORY!J3:J80&lt;=SETTINGS!$C$16)*(INVENTORY!A3:A80&lt;&gt;"")),3,1),"No low-stock items")</f>
        <v>P034</v>
      </c>
      <c r="AG2" t="str">
        <v>Toner Cartridge</v>
      </c>
      <c r="AH2">
        <v>2</v>
      </c>
      <c r="AI2">
        <v>5</v>
      </c>
      <c r="AJ2" t="str">
        <v>LOW STOCK</v>
      </c>
    </row>
    <row r="3" spans="1:36" ht="20.100000000000001" customHeight="1" thickBot="1" x14ac:dyDescent="0.3">
      <c r="J3" s="70" t="s">
        <v>394</v>
      </c>
      <c r="K3" s="71">
        <f>SUMIFS(SALES!$I$3:$I$55,SALES!$B$3:$B$55,J3)</f>
        <v>19079</v>
      </c>
      <c r="M3" t="str">
        <v>Keyboard</v>
      </c>
      <c r="N3" s="71">
        <f>IF(M3="","",SUMIF(SALES!F:F,M3,SALES!I:I))</f>
        <v>7200</v>
      </c>
      <c r="AA3" s="70" t="s">
        <v>394</v>
      </c>
      <c r="AB3" s="71">
        <f>SUMIFS(SALES!$I$3:$I$55,SALES!$B$3:$B$55,AA3)</f>
        <v>19079</v>
      </c>
      <c r="AF3" t="str">
        <v>P047</v>
      </c>
      <c r="AG3" t="str">
        <v>Projector</v>
      </c>
      <c r="AH3">
        <v>2</v>
      </c>
      <c r="AI3">
        <v>1</v>
      </c>
      <c r="AJ3" t="str">
        <v>LOW STOCK</v>
      </c>
    </row>
    <row r="4" spans="1:36" ht="20.100000000000001" customHeight="1" x14ac:dyDescent="0.25">
      <c r="A4" s="178" t="s">
        <v>3</v>
      </c>
      <c r="B4" s="179"/>
      <c r="C4" s="178" t="s">
        <v>735</v>
      </c>
      <c r="D4" s="179"/>
      <c r="E4" s="178" t="s">
        <v>737</v>
      </c>
      <c r="F4" s="179"/>
      <c r="G4" s="178" t="s">
        <v>1</v>
      </c>
      <c r="H4" s="188"/>
      <c r="J4" s="70" t="s">
        <v>305</v>
      </c>
      <c r="K4" s="71">
        <f>SUMIFS(SALES!$I$3:$I$55,SALES!$B$3:$B$55,J4)</f>
        <v>6893</v>
      </c>
      <c r="M4" t="str">
        <v>Mouse</v>
      </c>
      <c r="N4" s="71">
        <f>IF(M4="","",SUMIF(SALES!F:F,M4,SALES!I:I))</f>
        <v>4500</v>
      </c>
      <c r="AA4" s="70" t="s">
        <v>305</v>
      </c>
      <c r="AB4" s="71">
        <f>SUMIFS(SALES!$I$3:$I$55,SALES!$B$3:$B$55,AA4)</f>
        <v>6893</v>
      </c>
      <c r="AF4" t="str">
        <v>P003</v>
      </c>
      <c r="AG4" t="str">
        <v>Mouse</v>
      </c>
      <c r="AH4">
        <v>3</v>
      </c>
      <c r="AI4">
        <v>5</v>
      </c>
      <c r="AJ4" t="str">
        <v>LOW STOCK</v>
      </c>
    </row>
    <row r="5" spans="1:36" ht="27.95" customHeight="1" x14ac:dyDescent="0.25">
      <c r="A5" s="180">
        <f>SUM(SALES!I:I)</f>
        <v>467598</v>
      </c>
      <c r="B5" s="181"/>
      <c r="C5" s="184">
        <f>COUNTA(InventoryMaster[Product ID])</f>
        <v>52</v>
      </c>
      <c r="D5" s="185"/>
      <c r="E5" s="186">
        <f>COUNTA(EmployeeMaster[Employee ID])</f>
        <v>50</v>
      </c>
      <c r="F5" s="187"/>
      <c r="G5" s="186">
        <f>COUNTA(CustomerMaster[Customer ID])</f>
        <v>51</v>
      </c>
      <c r="H5" s="189"/>
      <c r="J5" s="70" t="s">
        <v>353</v>
      </c>
      <c r="K5" s="71">
        <f>SUMIFS(SALES!$I$3:$I$55,SALES!$B$3:$B$55,J5)</f>
        <v>35420</v>
      </c>
      <c r="M5" t="str">
        <v>Monitor 24in</v>
      </c>
      <c r="N5" s="71">
        <f>IF(M5="","",SUMIF(SALES!F:F,M5,SALES!I:I))</f>
        <v>33000</v>
      </c>
      <c r="AA5" s="70" t="s">
        <v>353</v>
      </c>
      <c r="AB5" s="71">
        <f>SUMIFS(SALES!$I$3:$I$55,SALES!$B$3:$B$55,AA5)</f>
        <v>35420</v>
      </c>
      <c r="AF5" t="str">
        <v>P043</v>
      </c>
      <c r="AG5" t="str">
        <v>Reception Desk</v>
      </c>
      <c r="AH5">
        <v>3</v>
      </c>
      <c r="AI5">
        <v>1</v>
      </c>
      <c r="AJ5" t="str">
        <v>LOW STOCK</v>
      </c>
    </row>
    <row r="6" spans="1:36" ht="20.100000000000001" customHeight="1" thickBot="1" x14ac:dyDescent="0.3">
      <c r="A6" s="182" t="s">
        <v>613</v>
      </c>
      <c r="B6" s="183"/>
      <c r="C6" s="182" t="s">
        <v>736</v>
      </c>
      <c r="D6" s="183"/>
      <c r="E6" s="182" t="s">
        <v>7</v>
      </c>
      <c r="F6" s="183"/>
      <c r="G6" s="182" t="s">
        <v>8</v>
      </c>
      <c r="H6" s="190"/>
      <c r="J6" s="70" t="s">
        <v>413</v>
      </c>
      <c r="K6" s="71">
        <f>SUMIFS(SALES!$I$3:$I$55,SALES!$B$3:$B$55,J6)</f>
        <v>2498</v>
      </c>
      <c r="M6" t="str">
        <v>A4 Paper Ream</v>
      </c>
      <c r="N6" s="71">
        <f>IF(M6="","",SUMIF(SALES!F:F,M6,SALES!I:I))</f>
        <v>4680</v>
      </c>
      <c r="AA6" s="70" t="s">
        <v>413</v>
      </c>
      <c r="AB6" s="71">
        <f>SUMIFS(SALES!$I$3:$I$55,SALES!$B$3:$B$55,AA6)</f>
        <v>2498</v>
      </c>
      <c r="AF6" t="str">
        <v>P045</v>
      </c>
      <c r="AG6" t="str">
        <v>Network Cabinet</v>
      </c>
      <c r="AH6">
        <v>3</v>
      </c>
      <c r="AI6">
        <v>1</v>
      </c>
      <c r="AJ6" t="str">
        <v>LOW STOCK</v>
      </c>
    </row>
    <row r="7" spans="1:36" ht="20.100000000000001" customHeight="1" thickBot="1" x14ac:dyDescent="0.3">
      <c r="J7" s="70" t="s">
        <v>328</v>
      </c>
      <c r="K7" s="71">
        <f>SUMIFS(SALES!$I$3:$I$55,SALES!$B$3:$B$55,J7)</f>
        <v>19900</v>
      </c>
      <c r="M7" t="str">
        <v>Laser Printer</v>
      </c>
      <c r="N7" s="71">
        <f>IF(M7="","",SUMIF(SALES!F:F,M7,SALES!I:I))</f>
        <v>31000</v>
      </c>
      <c r="AA7" s="70" t="s">
        <v>328</v>
      </c>
      <c r="AB7" s="71">
        <f>SUMIFS(SALES!$I$3:$I$55,SALES!$B$3:$B$55,AA7)</f>
        <v>19900</v>
      </c>
      <c r="AF7" t="str">
        <v>P050</v>
      </c>
      <c r="AG7" t="str">
        <v>PoE Injector</v>
      </c>
      <c r="AH7">
        <v>3</v>
      </c>
      <c r="AI7">
        <v>4</v>
      </c>
      <c r="AJ7" t="str">
        <v>LOW STOCK</v>
      </c>
    </row>
    <row r="8" spans="1:36" ht="20.100000000000001" customHeight="1" x14ac:dyDescent="0.25">
      <c r="A8" s="161" t="s">
        <v>738</v>
      </c>
      <c r="B8" s="162"/>
      <c r="C8" s="162"/>
      <c r="D8" s="162"/>
      <c r="E8" s="162"/>
      <c r="F8" s="162"/>
      <c r="G8" s="162"/>
      <c r="H8" s="163"/>
      <c r="J8" s="70" t="s">
        <v>299</v>
      </c>
      <c r="K8" s="71">
        <f>SUMIFS(SALES!$I$3:$I$55,SALES!$B$3:$B$55,J8)</f>
        <v>23398</v>
      </c>
      <c r="M8" t="str">
        <v>HDMI Cable</v>
      </c>
      <c r="N8" s="71">
        <f>IF(M8="","",SUMIF(SALES!F:F,M8,SALES!I:I))</f>
        <v>1120</v>
      </c>
      <c r="AA8" s="70" t="s">
        <v>299</v>
      </c>
      <c r="AB8" s="71">
        <f>SUMIFS(SALES!$I$3:$I$55,SALES!$B$3:$B$55,AA8)</f>
        <v>23398</v>
      </c>
      <c r="AF8" t="str">
        <v>P023</v>
      </c>
      <c r="AG8" t="str">
        <v>Conference Table</v>
      </c>
      <c r="AH8">
        <v>4</v>
      </c>
      <c r="AI8">
        <v>1</v>
      </c>
      <c r="AJ8" t="str">
        <v>LOW STOCK</v>
      </c>
    </row>
    <row r="9" spans="1:36" ht="20.100000000000001" customHeight="1" x14ac:dyDescent="0.25">
      <c r="A9" s="72"/>
      <c r="H9" s="73"/>
      <c r="J9" s="70" t="s">
        <v>171</v>
      </c>
      <c r="K9" s="71">
        <f>SUMIFS(SALES!$I$3:$I$55,SALES!$B$3:$B$55,J9)</f>
        <v>13121</v>
      </c>
      <c r="M9" t="str">
        <v>Webcam HD</v>
      </c>
      <c r="N9" s="71">
        <f>IF(M9="","",SUMIF(SALES!F:F,M9,SALES!I:I))</f>
        <v>3998</v>
      </c>
      <c r="AA9" s="70" t="s">
        <v>171</v>
      </c>
      <c r="AB9" s="71">
        <f>SUMIFS(SALES!$I$3:$I$55,SALES!$B$3:$B$55,AA9)</f>
        <v>13121</v>
      </c>
      <c r="AF9" t="str">
        <v>P037</v>
      </c>
      <c r="AG9" t="str">
        <v>Scanner</v>
      </c>
      <c r="AH9">
        <v>4</v>
      </c>
      <c r="AI9">
        <v>2</v>
      </c>
      <c r="AJ9" t="str">
        <v>LOW STOCK</v>
      </c>
    </row>
    <row r="10" spans="1:36" ht="20.100000000000001" customHeight="1" x14ac:dyDescent="0.25">
      <c r="A10" s="72"/>
      <c r="H10" s="73"/>
      <c r="J10" s="70" t="s">
        <v>277</v>
      </c>
      <c r="K10" s="71">
        <f>SUMIFS(SALES!$I$3:$I$55,SALES!$B$3:$B$55,J10)</f>
        <v>7599</v>
      </c>
      <c r="M10" t="str">
        <v>Pen Drive 64GB</v>
      </c>
      <c r="N10" s="71">
        <f>IF(M10="","",SUMIF(SALES!F:F,M10,SALES!I:I))</f>
        <v>7150</v>
      </c>
      <c r="AA10" s="70" t="s">
        <v>277</v>
      </c>
      <c r="AB10" s="71">
        <f>SUMIFS(SALES!$I$3:$I$55,SALES!$B$3:$B$55,AA10)</f>
        <v>7599</v>
      </c>
      <c r="AF10" t="str">
        <v>P022</v>
      </c>
      <c r="AG10" t="str">
        <v>Desktop PC</v>
      </c>
      <c r="AH10">
        <v>5</v>
      </c>
      <c r="AI10">
        <v>2</v>
      </c>
      <c r="AJ10" t="str">
        <v>LOW STOCK</v>
      </c>
    </row>
    <row r="11" spans="1:36" ht="20.100000000000001" customHeight="1" x14ac:dyDescent="0.25">
      <c r="A11" s="72"/>
      <c r="H11" s="73"/>
      <c r="J11" s="70" t="s">
        <v>196</v>
      </c>
      <c r="K11" s="71">
        <f>SUMIFS(SALES!$I$3:$I$55,SALES!$B$3:$B$55,J11)</f>
        <v>3398</v>
      </c>
      <c r="M11" t="str">
        <v>Router Dual Band</v>
      </c>
      <c r="N11" s="71">
        <f>IF(M11="","",SUMIF(SALES!F:F,M11,SALES!I:I))</f>
        <v>2999</v>
      </c>
      <c r="AA11" s="70" t="s">
        <v>196</v>
      </c>
      <c r="AB11" s="71">
        <f>SUMIFS(SALES!$I$3:$I$55,SALES!$B$3:$B$55,AA11)</f>
        <v>3398</v>
      </c>
      <c r="AF11" t="str">
        <v>P032</v>
      </c>
      <c r="AG11" t="str">
        <v>Tablet 10in</v>
      </c>
      <c r="AH11">
        <v>5</v>
      </c>
      <c r="AI11">
        <v>3</v>
      </c>
      <c r="AJ11" t="str">
        <v>LOW STOCK</v>
      </c>
    </row>
    <row r="12" spans="1:36" ht="20.100000000000001" customHeight="1" x14ac:dyDescent="0.25">
      <c r="A12" s="72"/>
      <c r="H12" s="73"/>
      <c r="J12" s="70" t="s">
        <v>260</v>
      </c>
      <c r="K12" s="71">
        <f>SUMIFS(SALES!$I$3:$I$55,SALES!$B$3:$B$55,J12)</f>
        <v>28850</v>
      </c>
      <c r="M12" t="str">
        <v>Laptop Bag</v>
      </c>
      <c r="N12" s="71">
        <f>IF(M12="","",SUMIF(SALES!F:F,M12,SALES!I:I))</f>
        <v>3597</v>
      </c>
      <c r="AA12" s="70" t="s">
        <v>260</v>
      </c>
      <c r="AB12" s="71">
        <f>SUMIFS(SALES!$I$3:$I$55,SALES!$B$3:$B$55,AA12)</f>
        <v>28850</v>
      </c>
      <c r="AF12" t="str">
        <v>P038</v>
      </c>
      <c r="AG12" t="str">
        <v>Storage Rack</v>
      </c>
      <c r="AH12">
        <v>5</v>
      </c>
      <c r="AI12">
        <v>2</v>
      </c>
      <c r="AJ12" t="str">
        <v>LOW STOCK</v>
      </c>
    </row>
    <row r="13" spans="1:36" ht="20.100000000000001" customHeight="1" x14ac:dyDescent="0.25">
      <c r="A13" s="72"/>
      <c r="H13" s="73"/>
      <c r="J13" s="70" t="s">
        <v>172</v>
      </c>
      <c r="K13" s="71">
        <f>SUMIFS(SALES!$I$3:$I$55,SALES!$B$3:$B$55,J13)</f>
        <v>12598</v>
      </c>
      <c r="M13" t="str">
        <v>SSD 512GB</v>
      </c>
      <c r="N13" s="71">
        <f>IF(M13="","",SUMIF(SALES!F:F,M13,SALES!I:I))</f>
        <v>4299</v>
      </c>
      <c r="AA13" s="70" t="s">
        <v>172</v>
      </c>
      <c r="AB13" s="71">
        <f>SUMIFS(SALES!$I$3:$I$55,SALES!$B$3:$B$55,AA13)</f>
        <v>12598</v>
      </c>
    </row>
    <row r="14" spans="1:36" ht="20.100000000000001" customHeight="1" x14ac:dyDescent="0.25">
      <c r="A14" s="72"/>
      <c r="H14" s="73"/>
      <c r="J14" s="70" t="s">
        <v>360</v>
      </c>
      <c r="K14" s="71">
        <f>SUMIFS(SALES!$I$3:$I$55,SALES!$B$3:$B$55,J14)</f>
        <v>7498</v>
      </c>
      <c r="M14" t="str">
        <v>Headphones</v>
      </c>
      <c r="N14" s="71">
        <f>IF(M14="","",SUMIF(SALES!F:F,M14,SALES!I:I))</f>
        <v>3897</v>
      </c>
      <c r="AA14" s="70" t="s">
        <v>360</v>
      </c>
      <c r="AB14" s="71">
        <f>SUMIFS(SALES!$I$3:$I$55,SALES!$B$3:$B$55,AA14)</f>
        <v>7498</v>
      </c>
    </row>
    <row r="15" spans="1:36" ht="20.100000000000001" customHeight="1" x14ac:dyDescent="0.25">
      <c r="A15" s="72"/>
      <c r="H15" s="73"/>
      <c r="J15" s="70" t="s">
        <v>249</v>
      </c>
      <c r="K15" s="71">
        <f>SUMIFS(SALES!$I$3:$I$55,SALES!$B$3:$B$55,J15)</f>
        <v>7596</v>
      </c>
      <c r="M15" t="str">
        <v>Office Chair</v>
      </c>
      <c r="N15" s="71">
        <f>IF(M15="","",SUMIF(SALES!F:F,M15,SALES!I:I))</f>
        <v>17997</v>
      </c>
      <c r="AA15" s="70" t="s">
        <v>249</v>
      </c>
      <c r="AB15" s="71">
        <f>SUMIFS(SALES!$I$3:$I$55,SALES!$B$3:$B$55,AA15)</f>
        <v>7596</v>
      </c>
    </row>
    <row r="16" spans="1:36" ht="20.100000000000001" customHeight="1" x14ac:dyDescent="0.25">
      <c r="A16" s="72"/>
      <c r="H16" s="73"/>
      <c r="J16" s="70" t="s">
        <v>173</v>
      </c>
      <c r="K16" s="71">
        <f>SUMIFS(SALES!$I$3:$I$55,SALES!$B$3:$B$55,J16)</f>
        <v>47400</v>
      </c>
      <c r="M16" t="str">
        <v>Desktop PC</v>
      </c>
      <c r="N16" s="71">
        <f>IF(M16="","",SUMIF(SALES!F:F,M16,SALES!I:I))</f>
        <v>67000</v>
      </c>
      <c r="AA16" s="70" t="s">
        <v>173</v>
      </c>
      <c r="AB16" s="71">
        <f>SUMIFS(SALES!$I$3:$I$55,SALES!$B$3:$B$55,AA16)</f>
        <v>47400</v>
      </c>
    </row>
    <row r="17" spans="1:28" ht="20.100000000000001" customHeight="1" x14ac:dyDescent="0.25">
      <c r="A17" s="72"/>
      <c r="H17" s="73"/>
      <c r="J17" s="70" t="s">
        <v>228</v>
      </c>
      <c r="K17" s="71">
        <f>SUMIFS(SALES!$I$3:$I$55,SALES!$B$3:$B$55,J17)</f>
        <v>19795</v>
      </c>
      <c r="M17" t="str">
        <v>LAN Cable Cat6</v>
      </c>
      <c r="N17" s="71">
        <f>IF(M17="","",SUMIF(SALES!F:F,M17,SALES!I:I))</f>
        <v>5120</v>
      </c>
      <c r="AA17" s="70" t="s">
        <v>228</v>
      </c>
      <c r="AB17" s="71">
        <f>SUMIFS(SALES!$I$3:$I$55,SALES!$B$3:$B$55,AA17)</f>
        <v>19795</v>
      </c>
    </row>
    <row r="18" spans="1:28" ht="20.100000000000001" customHeight="1" thickBot="1" x14ac:dyDescent="0.3">
      <c r="A18" s="74"/>
      <c r="B18" s="75"/>
      <c r="C18" s="75"/>
      <c r="D18" s="75"/>
      <c r="E18" s="75"/>
      <c r="F18" s="75"/>
      <c r="G18" s="75"/>
      <c r="H18" s="76"/>
      <c r="J18" s="70" t="s">
        <v>316</v>
      </c>
      <c r="K18" s="71">
        <f>SUMIFS(SALES!$I$3:$I$55,SALES!$B$3:$B$55,J18)</f>
        <v>8396</v>
      </c>
      <c r="M18" t="str">
        <v>Power Bank</v>
      </c>
      <c r="N18" s="71">
        <f>IF(M18="","",SUMIF(SALES!F:F,M18,SALES!I:I))</f>
        <v>8495</v>
      </c>
      <c r="AA18" s="70" t="s">
        <v>316</v>
      </c>
      <c r="AB18" s="71">
        <f>SUMIFS(SALES!$I$3:$I$55,SALES!$B$3:$B$55,AA18)</f>
        <v>8396</v>
      </c>
    </row>
    <row r="19" spans="1:28" ht="20.100000000000001" customHeight="1" thickBot="1" x14ac:dyDescent="0.3">
      <c r="J19" s="70" t="s">
        <v>174</v>
      </c>
      <c r="K19" s="71">
        <f>SUMIFS(SALES!$I$3:$I$55,SALES!$B$3:$B$55,J19)</f>
        <v>36700</v>
      </c>
      <c r="M19" t="str">
        <v>UPS 600VA</v>
      </c>
      <c r="N19" s="71">
        <f>IF(M19="","",SUMIF(SALES!F:F,M19,SALES!I:I))</f>
        <v>3299</v>
      </c>
      <c r="AA19" s="70" t="s">
        <v>174</v>
      </c>
      <c r="AB19" s="71">
        <f>SUMIFS(SALES!$I$3:$I$55,SALES!$B$3:$B$55,AA19)</f>
        <v>36700</v>
      </c>
    </row>
    <row r="20" spans="1:28" ht="20.100000000000001" customHeight="1" x14ac:dyDescent="0.25">
      <c r="A20" s="161" t="s">
        <v>2</v>
      </c>
      <c r="B20" s="162"/>
      <c r="C20" s="163"/>
      <c r="E20" s="161" t="s">
        <v>4</v>
      </c>
      <c r="F20" s="162"/>
      <c r="G20" s="162"/>
      <c r="H20" s="163"/>
      <c r="J20" s="70" t="s">
        <v>288</v>
      </c>
      <c r="K20" s="71">
        <f>SUMIFS(SALES!$I$3:$I$55,SALES!$B$3:$B$55,J20)</f>
        <v>14596</v>
      </c>
      <c r="M20" t="str">
        <v>Wireless Mouse</v>
      </c>
      <c r="N20" s="71">
        <f>IF(M20="","",SUMIF(SALES!F:F,M20,SALES!I:I))</f>
        <v>6291</v>
      </c>
      <c r="AA20" s="70" t="s">
        <v>288</v>
      </c>
      <c r="AB20" s="71">
        <f>SUMIFS(SALES!$I$3:$I$55,SALES!$B$3:$B$55,AA20)</f>
        <v>14596</v>
      </c>
    </row>
    <row r="21" spans="1:28" ht="20.100000000000001" customHeight="1" x14ac:dyDescent="0.25">
      <c r="A21" s="77" t="s">
        <v>739</v>
      </c>
      <c r="B21" s="78">
        <f>COUNTIF(INVENTORY!L:L,"LOW STOCK")</f>
        <v>11</v>
      </c>
      <c r="C21" s="79"/>
      <c r="E21" s="164" t="s">
        <v>741</v>
      </c>
      <c r="F21" s="165"/>
      <c r="G21" s="168">
        <f>SUM(PAYROLL!K:K)</f>
        <v>1489246.923076923</v>
      </c>
      <c r="H21" s="169"/>
      <c r="J21" s="70" t="s">
        <v>175</v>
      </c>
      <c r="K21" s="71">
        <f>SUMIFS(SALES!$I$3:$I$55,SALES!$B$3:$B$55,J21)</f>
        <v>6697</v>
      </c>
      <c r="M21" t="str">
        <v>Tablet 10in</v>
      </c>
      <c r="N21" s="71">
        <f>IF(M21="","",SUMIF(SALES!F:F,M21,SALES!I:I))</f>
        <v>33998</v>
      </c>
      <c r="AA21" s="70" t="s">
        <v>175</v>
      </c>
      <c r="AB21" s="71">
        <f>SUMIFS(SALES!$I$3:$I$55,SALES!$B$3:$B$55,AA21)</f>
        <v>6697</v>
      </c>
    </row>
    <row r="22" spans="1:28" ht="20.100000000000001" customHeight="1" thickBot="1" x14ac:dyDescent="0.3">
      <c r="A22" s="80" t="s">
        <v>740</v>
      </c>
      <c r="B22" s="81">
        <f>COUNTIF(INVENTORY!J:J,0)</f>
        <v>0</v>
      </c>
      <c r="C22" s="82"/>
      <c r="E22" s="166" t="s">
        <v>681</v>
      </c>
      <c r="F22" s="167"/>
      <c r="G22" s="170">
        <f>SUMIF(PAYROLL!L:L,"Paid",PAYROLL!K:K)</f>
        <v>1281080</v>
      </c>
      <c r="H22" s="171"/>
      <c r="J22" s="70" t="s">
        <v>266</v>
      </c>
      <c r="K22" s="71">
        <f>SUMIFS(SALES!$I$3:$I$55,SALES!$B$3:$B$55,J22)</f>
        <v>5749</v>
      </c>
      <c r="M22" t="str">
        <v>Toner Cartridge</v>
      </c>
      <c r="N22" s="71">
        <f>IF(M22="","",SUMIF(SALES!F:F,M22,SALES!I:I))</f>
        <v>5798</v>
      </c>
      <c r="AA22" s="70" t="s">
        <v>266</v>
      </c>
      <c r="AB22" s="71">
        <f>SUMIFS(SALES!$I$3:$I$55,SALES!$B$3:$B$55,AA22)</f>
        <v>5749</v>
      </c>
    </row>
    <row r="23" spans="1:28" ht="20.100000000000001" customHeight="1" thickBot="1" x14ac:dyDescent="0.3">
      <c r="J23" s="70" t="s">
        <v>176</v>
      </c>
      <c r="K23" s="71">
        <f>SUMIFS(SALES!$I$3:$I$55,SALES!$B$3:$B$55,J23)</f>
        <v>5118</v>
      </c>
      <c r="M23" t="str">
        <v>Laptop Stand</v>
      </c>
      <c r="N23" s="71">
        <f>IF(M23="","",SUMIF(SALES!F:F,M23,SALES!I:I))</f>
        <v>1798</v>
      </c>
      <c r="AA23" s="70" t="s">
        <v>176</v>
      </c>
      <c r="AB23" s="71">
        <f>SUMIFS(SALES!$I$3:$I$55,SALES!$B$3:$B$55,AA23)</f>
        <v>5118</v>
      </c>
    </row>
    <row r="24" spans="1:28" ht="20.100000000000001" customHeight="1" x14ac:dyDescent="0.25">
      <c r="A24" s="161" t="s">
        <v>742</v>
      </c>
      <c r="B24" s="162"/>
      <c r="C24" s="163"/>
      <c r="E24" s="161" t="s">
        <v>743</v>
      </c>
      <c r="F24" s="162"/>
      <c r="G24" s="162"/>
      <c r="H24" s="163"/>
      <c r="J24" s="70" t="s">
        <v>621</v>
      </c>
      <c r="K24" s="71">
        <f>SUMIFS(SALES!$I$3:$I$55,SALES!$B$3:$B$55,J24)</f>
        <v>18100</v>
      </c>
      <c r="M24" t="str">
        <v>Scanner</v>
      </c>
      <c r="N24" s="71">
        <f>IF(M24="","",SUMIF(SALES!F:F,M24,SALES!I:I))</f>
        <v>5999</v>
      </c>
      <c r="AA24" s="70" t="s">
        <v>621</v>
      </c>
      <c r="AB24" s="71">
        <f>SUMIFS(SALES!$I$3:$I$55,SALES!$B$3:$B$55,AA24)</f>
        <v>18100</v>
      </c>
    </row>
    <row r="25" spans="1:28" ht="20.100000000000001" customHeight="1" x14ac:dyDescent="0.25">
      <c r="A25" s="83" t="str">
        <f>IFERROR(INDEX($M$2:$M$80,MATCH(LARGE($N$2:$N$80,1),$N$2:$N$80,0)),"—")</f>
        <v>Laptop</v>
      </c>
      <c r="B25" s="84">
        <f>IFERROR(LARGE($N$2:$N$80,1),"")</f>
        <v>135000</v>
      </c>
      <c r="C25" s="79"/>
      <c r="E25" s="153" t="str" cm="1">
        <f t="array" ref="E25">IF(COUNTA(SALES!A:A)&lt;3,"",INDEX(SALES!A:A,COUNTA(SALES!A:A)))</f>
        <v>S053</v>
      </c>
      <c r="F25" s="154"/>
      <c r="G25" s="157" cm="1">
        <f t="array" ref="G25">IF(E25="","",INDEX(SALES!I:I,COUNTA(SALES!A:A)))</f>
        <v>900</v>
      </c>
      <c r="H25" s="158"/>
      <c r="J25" s="70" t="s">
        <v>177</v>
      </c>
      <c r="K25" s="71">
        <f>SUMIFS(SALES!$I$3:$I$55,SALES!$B$3:$B$55,J25)</f>
        <v>12500</v>
      </c>
      <c r="M25" t="str">
        <v>Bluetooth Speaker</v>
      </c>
      <c r="N25" s="71">
        <f>IF(M25="","",SUMIF(SALES!F:F,M25,SALES!I:I))</f>
        <v>1499</v>
      </c>
      <c r="AA25" s="70" t="s">
        <v>177</v>
      </c>
      <c r="AB25" s="71">
        <f>SUMIFS(SALES!$I$3:$I$55,SALES!$B$3:$B$55,AA25)</f>
        <v>12500</v>
      </c>
    </row>
    <row r="26" spans="1:28" ht="20.100000000000001" customHeight="1" x14ac:dyDescent="0.25">
      <c r="A26" s="83" t="str">
        <f>IFERROR(INDEX($M$2:$M$80,MATCH(LARGE($N$2:$N$80,2),$N$2:$N$80,0)),"—")</f>
        <v>Desktop PC</v>
      </c>
      <c r="B26" s="84">
        <f>IFERROR(LARGE($N$2:$N$80,2),"")</f>
        <v>67000</v>
      </c>
      <c r="C26" s="79"/>
      <c r="E26" s="153" t="str" cm="1">
        <f t="array" ref="E26">IF(COUNTA(SALES!A:A)&lt;4,"",INDEX(SALES!A:A,COUNTA(SALES!A:A)-1))</f>
        <v>S052</v>
      </c>
      <c r="F26" s="154"/>
      <c r="G26" s="157" cm="1">
        <f t="array" ref="G26">IF(E26="","",INDEX(SALES!I:I,COUNTA(SALES!A:A)-1))</f>
        <v>5999</v>
      </c>
      <c r="H26" s="158"/>
      <c r="J26" s="70" t="s">
        <v>178</v>
      </c>
      <c r="K26" s="71">
        <f>SUMIFS(SALES!$I$3:$I$55,SALES!$B$3:$B$55,J26)</f>
        <v>46600</v>
      </c>
      <c r="M26" t="str">
        <v>External HDD 1TB</v>
      </c>
      <c r="N26" s="71">
        <f>IF(M26="","",SUMIF(SALES!F:F,M26,SALES!I:I))</f>
        <v>9598</v>
      </c>
      <c r="AA26" s="70" t="s">
        <v>178</v>
      </c>
      <c r="AB26" s="71">
        <f>SUMIFS(SALES!$I$3:$I$55,SALES!$B$3:$B$55,AA26)</f>
        <v>46600</v>
      </c>
    </row>
    <row r="27" spans="1:28" ht="20.100000000000001" customHeight="1" x14ac:dyDescent="0.25">
      <c r="A27" s="83" t="str">
        <f>IFERROR(INDEX($M$2:$M$80,MATCH(LARGE($N$2:$N$80,3),$N$2:$N$80,0)),"—")</f>
        <v>Tablet 10in</v>
      </c>
      <c r="B27" s="84">
        <f>IFERROR(LARGE($N$2:$N$80,3),"")</f>
        <v>33998</v>
      </c>
      <c r="C27" s="79"/>
      <c r="E27" s="153" t="str" cm="1">
        <f t="array" ref="E27">IF(COUNTA(SALES!A:A)&lt;5,"",INDEX(SALES!A:A,COUNTA(SALES!A:A)-2))</f>
        <v>S051</v>
      </c>
      <c r="F27" s="154"/>
      <c r="G27" s="157" cm="1">
        <f t="array" ref="G27">IF(E27="","",INDEX(SALES!I:I,COUNTA(SALES!A:A)-2))</f>
        <v>3000</v>
      </c>
      <c r="H27" s="158"/>
      <c r="J27" s="70" t="s">
        <v>949</v>
      </c>
      <c r="K27" s="71"/>
      <c r="M27" t="str">
        <v>Projector</v>
      </c>
      <c r="N27" s="71">
        <f>IF(M27="","",SUMIF(SALES!F:F,M27,SALES!I:I))</f>
        <v>27500</v>
      </c>
      <c r="AA27" s="70" t="s">
        <v>949</v>
      </c>
      <c r="AB27" s="71"/>
    </row>
    <row r="28" spans="1:28" ht="20.100000000000001" customHeight="1" thickBot="1" x14ac:dyDescent="0.3">
      <c r="A28" s="85" t="str">
        <f>IFERROR(INDEX($M$2:$M$80,MATCH(LARGE($N$2:$N$80,4),$N$2:$N$80,0)),"—")</f>
        <v>Monitor 24in</v>
      </c>
      <c r="B28" s="86">
        <f>IFERROR(LARGE($N$2:$N$80,4),"")</f>
        <v>33000</v>
      </c>
      <c r="C28" s="82"/>
      <c r="E28" s="155" t="str" cm="1">
        <f t="array" ref="E28">IF(COUNTA(SALES!A:A)&lt;6,"",INDEX(SALES!A:A,COUNTA(SALES!A:A)-3))</f>
        <v>S050</v>
      </c>
      <c r="F28" s="156"/>
      <c r="G28" s="159" cm="1">
        <f t="array" ref="G28">IF(E28="","",INDEX(SALES!I:I,COUNTA(SALES!A:A)-3))</f>
        <v>3200</v>
      </c>
      <c r="H28" s="160"/>
      <c r="J28" s="70" t="s">
        <v>950</v>
      </c>
      <c r="K28" s="71"/>
      <c r="M28" t="str">
        <v>USB Hub</v>
      </c>
      <c r="N28" s="71">
        <f>IF(M28="","",SUMIF(SALES!F:F,M28,SALES!I:I))</f>
        <v>2250</v>
      </c>
      <c r="AA28" s="70" t="s">
        <v>950</v>
      </c>
      <c r="AB28" s="71"/>
    </row>
    <row r="29" spans="1:28" ht="20.100000000000001" customHeight="1" x14ac:dyDescent="0.25">
      <c r="E29" s="87" t="str" cm="1">
        <f t="array" ref="E29">IF(COUNTA(SALES!A:A)&lt;7,"",INDEX(SALES!A:A,COUNTA(SALES!A:A)-4))</f>
        <v>S049</v>
      </c>
      <c r="F29" s="87"/>
      <c r="G29" s="88" cm="1">
        <f t="array" ref="G29">IF(E29="","",INDEX(SALES!I:I,COUNTA(SALES!A:A)-4))</f>
        <v>45000</v>
      </c>
      <c r="H29" s="87"/>
      <c r="J29" s="70" t="s">
        <v>951</v>
      </c>
      <c r="K29" s="71"/>
      <c r="M29" t="str">
        <v>Desk Lamp</v>
      </c>
      <c r="N29" s="71">
        <f>IF(M29="","",SUMIF(SALES!F:F,M29,SALES!I:I))</f>
        <v>1998</v>
      </c>
      <c r="AA29" s="70" t="s">
        <v>951</v>
      </c>
      <c r="AB29" s="71"/>
    </row>
    <row r="30" spans="1:28" ht="20.100000000000001" customHeight="1" x14ac:dyDescent="0.25">
      <c r="J30" s="70" t="s">
        <v>952</v>
      </c>
      <c r="K30" s="71"/>
      <c r="M30" t="str">
        <v>Stapler</v>
      </c>
      <c r="N30" s="71">
        <f>IF(M30="","",SUMIF(SALES!F:F,M30,SALES!I:I))</f>
        <v>1400</v>
      </c>
      <c r="AA30" s="70" t="s">
        <v>952</v>
      </c>
      <c r="AB30" s="71"/>
    </row>
    <row r="31" spans="1:28" ht="20.100000000000001" customHeight="1" x14ac:dyDescent="0.25">
      <c r="A31" s="191" t="s">
        <v>954</v>
      </c>
      <c r="B31" s="191"/>
      <c r="J31" s="70" t="s">
        <v>953</v>
      </c>
      <c r="K31" s="71"/>
      <c r="M31" t="str">
        <v>Ink Cartridge</v>
      </c>
      <c r="N31" s="71">
        <f>IF(M31="","",SUMIF(SALES!F:F,M31,SALES!I:I))</f>
        <v>5400</v>
      </c>
      <c r="AA31" s="70" t="s">
        <v>953</v>
      </c>
      <c r="AB31" s="71"/>
    </row>
    <row r="32" spans="1:28" ht="20.100000000000001" customHeight="1" x14ac:dyDescent="0.25">
      <c r="A32" s="90" t="s">
        <v>672</v>
      </c>
      <c r="B32" s="90" t="s">
        <v>955</v>
      </c>
      <c r="M32" t="str">
        <v>Switch 8-Port</v>
      </c>
      <c r="N32" s="71">
        <f>IF(M32="","",SUMIF(SALES!F:F,M32,SALES!I:I))</f>
        <v>2199</v>
      </c>
    </row>
    <row r="33" spans="1:14" x14ac:dyDescent="0.25">
      <c r="A33" s="91" t="s">
        <v>733</v>
      </c>
      <c r="B33" s="88">
        <f>K2</f>
        <v>48200</v>
      </c>
      <c r="M33" t="str">
        <v>Visitor Chair</v>
      </c>
      <c r="N33" s="71">
        <f>IF(M33="","",SUMIF(SALES!F:F,M33,SALES!I:I))</f>
        <v>11996</v>
      </c>
    </row>
    <row r="34" spans="1:14" x14ac:dyDescent="0.25">
      <c r="A34" s="91" t="s">
        <v>732</v>
      </c>
      <c r="B34" s="88">
        <f>SUM(K3:K31)</f>
        <v>409499</v>
      </c>
      <c r="M34" t="str">
        <v>Notebook Pack</v>
      </c>
      <c r="N34" s="71">
        <f>IF(M34="","",SUMIF(SALES!F:F,M34,SALES!I:I))</f>
        <v>1125</v>
      </c>
    </row>
    <row r="35" spans="1:14" x14ac:dyDescent="0.25">
      <c r="A35" s="87"/>
      <c r="B35" s="88"/>
      <c r="M35" t="str">
        <v>WiFi Adapter</v>
      </c>
      <c r="N35" s="71">
        <f>IF(M35="","",SUMIF(SALES!F:F,M35,SALES!I:I))</f>
        <v>1398</v>
      </c>
    </row>
    <row r="36" spans="1:14" x14ac:dyDescent="0.25">
      <c r="A36" s="192" t="s">
        <v>980</v>
      </c>
      <c r="B36" s="192"/>
      <c r="C36" s="192" t="s">
        <v>981</v>
      </c>
      <c r="D36" s="192"/>
      <c r="E36" s="192" t="s">
        <v>982</v>
      </c>
      <c r="F36" s="192"/>
      <c r="M36" t="str">
        <v>pen</v>
      </c>
      <c r="N36" s="71">
        <f>IF(M36="","",SUMIF(SALES!F:F,M36,SALES!I:I))</f>
        <v>3000</v>
      </c>
    </row>
    <row r="37" spans="1:14" ht="21" x14ac:dyDescent="0.35">
      <c r="A37" s="193">
        <f>REPORTS!X5</f>
        <v>457699</v>
      </c>
      <c r="B37" s="193"/>
      <c r="C37" s="193">
        <f>REPORTS!X6</f>
        <v>362650</v>
      </c>
      <c r="D37" s="193"/>
      <c r="E37" s="195">
        <f>REPORTS!X7</f>
        <v>95049</v>
      </c>
      <c r="F37" s="195"/>
      <c r="N37" s="71" t="str">
        <f>IF(M37="","",SUMIF(SALES!F:F,M37,SALES!I:I))</f>
        <v/>
      </c>
    </row>
    <row r="38" spans="1:14" x14ac:dyDescent="0.25">
      <c r="A38" s="194" t="str">
        <f>SETTINGS!C15</f>
        <v>Sep-2026</v>
      </c>
      <c r="B38" s="194"/>
      <c r="C38" s="194" t="str">
        <f>SETTINGS!C15</f>
        <v>Sep-2026</v>
      </c>
      <c r="D38" s="194"/>
      <c r="E38" s="194" t="str">
        <f>SETTINGS!C15</f>
        <v>Sep-2026</v>
      </c>
      <c r="F38" s="194"/>
      <c r="N38" s="71" t="str">
        <f>IF(M38="","",SUMIF(SALES!F:F,M38,SALES!I:I))</f>
        <v/>
      </c>
    </row>
    <row r="39" spans="1:14" x14ac:dyDescent="0.25">
      <c r="A39" s="191" t="s">
        <v>956</v>
      </c>
      <c r="B39" s="191"/>
      <c r="C39" s="191"/>
      <c r="D39" s="191"/>
      <c r="E39" s="191"/>
      <c r="N39" s="71" t="str">
        <f>IF(M39="","",SUMIF(SALES!F:F,M39,SALES!I:I))</f>
        <v/>
      </c>
    </row>
    <row r="40" spans="1:14" x14ac:dyDescent="0.25">
      <c r="A40" s="90" t="s">
        <v>480</v>
      </c>
      <c r="B40" s="90" t="s">
        <v>481</v>
      </c>
      <c r="C40" s="90" t="s">
        <v>489</v>
      </c>
      <c r="D40" s="90" t="s">
        <v>490</v>
      </c>
      <c r="E40" s="90" t="s">
        <v>491</v>
      </c>
      <c r="N40" s="71" t="str">
        <f>IF(M40="","",SUMIF(SALES!F:F,M40,SALES!I:I))</f>
        <v/>
      </c>
    </row>
    <row r="41" spans="1:14" x14ac:dyDescent="0.25">
      <c r="A41" s="87" t="str">
        <f>IF(AF2="No low-stock items",AF2,IFERROR(INDEX(_xlfn.ANCHORARRAY(AF2),1,1),""))</f>
        <v>P034</v>
      </c>
      <c r="B41" s="87" t="str">
        <f>IFERROR(INDEX(_xlfn.ANCHORARRAY(AF2),1,2),"")</f>
        <v>Toner Cartridge</v>
      </c>
      <c r="C41" s="92">
        <f>IFERROR(INDEX(_xlfn.ANCHORARRAY(AF2),1,3),"")</f>
        <v>2</v>
      </c>
      <c r="D41" s="92">
        <f>IFERROR(INDEX(_xlfn.ANCHORARRAY(AF2),1,4),"")</f>
        <v>5</v>
      </c>
      <c r="E41" s="93" t="str">
        <f>IFERROR(INDEX(_xlfn.ANCHORARRAY(AF2),1,5),"")</f>
        <v>LOW STOCK</v>
      </c>
      <c r="N41" s="71" t="str">
        <f>IF(M41="","",SUMIF(SALES!F:F,M41,SALES!I:I))</f>
        <v/>
      </c>
    </row>
    <row r="42" spans="1:14" x14ac:dyDescent="0.25">
      <c r="A42" s="87" t="str">
        <f>IFERROR(INDEX(_xlfn.ANCHORARRAY(AF2),2,1),"")</f>
        <v>P047</v>
      </c>
      <c r="B42" s="87" t="str">
        <f>IFERROR(INDEX(_xlfn.ANCHORARRAY(AF2),2,2),"")</f>
        <v>Projector</v>
      </c>
      <c r="C42" s="92">
        <f>IFERROR(INDEX(_xlfn.ANCHORARRAY(AF2),2,3),"")</f>
        <v>2</v>
      </c>
      <c r="D42" s="92">
        <f>IFERROR(INDEX(_xlfn.ANCHORARRAY(AF2),2,4),"")</f>
        <v>1</v>
      </c>
      <c r="E42" s="93" t="str">
        <f>IFERROR(INDEX(_xlfn.ANCHORARRAY(AF2),2,5),"")</f>
        <v>LOW STOCK</v>
      </c>
      <c r="N42" s="71" t="str">
        <f>IF(M42="","",SUMIF(SALES!F:F,M42,SALES!I:I))</f>
        <v/>
      </c>
    </row>
    <row r="43" spans="1:14" x14ac:dyDescent="0.25">
      <c r="A43" s="87" t="str">
        <f>IFERROR(INDEX(_xlfn.ANCHORARRAY(AF2),3,1),"")</f>
        <v>P003</v>
      </c>
      <c r="B43" s="87" t="str">
        <f>IFERROR(INDEX(_xlfn.ANCHORARRAY(AF2),3,2),"")</f>
        <v>Mouse</v>
      </c>
      <c r="C43" s="92">
        <f>IFERROR(INDEX(_xlfn.ANCHORARRAY(AF2),3,3),"")</f>
        <v>3</v>
      </c>
      <c r="D43" s="92">
        <f>IFERROR(INDEX(_xlfn.ANCHORARRAY(AF2),3,4),"")</f>
        <v>5</v>
      </c>
      <c r="E43" s="93" t="str">
        <f>IFERROR(INDEX(_xlfn.ANCHORARRAY(AF2),3,5),"")</f>
        <v>LOW STOCK</v>
      </c>
      <c r="N43" s="71" t="str">
        <f>IF(M43="","",SUMIF(SALES!F:F,M43,SALES!I:I))</f>
        <v/>
      </c>
    </row>
    <row r="44" spans="1:14" x14ac:dyDescent="0.25">
      <c r="A44" s="87" t="str">
        <f>IFERROR(INDEX(_xlfn.ANCHORARRAY(AF2),4,1),"")</f>
        <v>P043</v>
      </c>
      <c r="B44" s="87" t="str">
        <f>IFERROR(INDEX(_xlfn.ANCHORARRAY(AF2),4,2),"")</f>
        <v>Reception Desk</v>
      </c>
      <c r="C44" s="92">
        <f>IFERROR(INDEX(_xlfn.ANCHORARRAY(AF2),4,3),"")</f>
        <v>3</v>
      </c>
      <c r="D44" s="92">
        <f>IFERROR(INDEX(_xlfn.ANCHORARRAY(AF2),4,4),"")</f>
        <v>1</v>
      </c>
      <c r="E44" s="93" t="str">
        <f>IFERROR(INDEX(_xlfn.ANCHORARRAY(AF2),4,5),"")</f>
        <v>LOW STOCK</v>
      </c>
      <c r="N44" s="71" t="str">
        <f>IF(M44="","",SUMIF(SALES!F:F,M44,SALES!I:I))</f>
        <v/>
      </c>
    </row>
    <row r="45" spans="1:14" x14ac:dyDescent="0.25">
      <c r="A45" s="87" t="str">
        <f>IFERROR(INDEX(_xlfn.ANCHORARRAY(AF2),5,1),"")</f>
        <v>P045</v>
      </c>
      <c r="B45" s="87" t="str">
        <f>IFERROR(INDEX(_xlfn.ANCHORARRAY(AF2),5,2),"")</f>
        <v>Network Cabinet</v>
      </c>
      <c r="C45" s="92">
        <f>IFERROR(INDEX(_xlfn.ANCHORARRAY(AF2),5,3),"")</f>
        <v>3</v>
      </c>
      <c r="D45" s="92">
        <f>IFERROR(INDEX(_xlfn.ANCHORARRAY(AF2),5,4),"")</f>
        <v>1</v>
      </c>
      <c r="E45" s="93" t="str">
        <f>IFERROR(INDEX(_xlfn.ANCHORARRAY(AF2),5,5),"")</f>
        <v>LOW STOCK</v>
      </c>
      <c r="N45" s="71" t="str">
        <f>IF(M45="","",SUMIF(SALES!F:F,M45,SALES!I:I))</f>
        <v/>
      </c>
    </row>
    <row r="46" spans="1:14" x14ac:dyDescent="0.25">
      <c r="A46" s="87" t="str">
        <f>IFERROR(INDEX(_xlfn.ANCHORARRAY(AF2),6,1),"")</f>
        <v>P050</v>
      </c>
      <c r="B46" s="87" t="str">
        <f>IFERROR(INDEX(_xlfn.ANCHORARRAY(AF2),6,2),"")</f>
        <v>PoE Injector</v>
      </c>
      <c r="C46" s="92">
        <f>IFERROR(INDEX(_xlfn.ANCHORARRAY(AF2),6,3),"")</f>
        <v>3</v>
      </c>
      <c r="D46" s="92">
        <f>IFERROR(INDEX(_xlfn.ANCHORARRAY(AF2),6,4),"")</f>
        <v>4</v>
      </c>
      <c r="E46" s="93" t="str">
        <f>IFERROR(INDEX(_xlfn.ANCHORARRAY(AF2),6,5),"")</f>
        <v>LOW STOCK</v>
      </c>
      <c r="N46" s="71" t="str">
        <f>IF(M46="","",SUMIF(SALES!F:F,M46,SALES!I:I))</f>
        <v/>
      </c>
    </row>
    <row r="47" spans="1:14" x14ac:dyDescent="0.25">
      <c r="N47" s="71" t="str">
        <f>IF(M47="","",SUMIF(SALES!F:F,M47,SALES!I:I))</f>
        <v/>
      </c>
    </row>
    <row r="48" spans="1:14" x14ac:dyDescent="0.25">
      <c r="N48" s="71" t="str">
        <f>IF(M48="","",SUMIF(SALES!F:F,M48,SALES!I:I))</f>
        <v/>
      </c>
    </row>
    <row r="49" spans="14:14" x14ac:dyDescent="0.25">
      <c r="N49" s="71" t="str">
        <f>IF(M49="","",SUMIF(SALES!F:F,M49,SALES!I:I))</f>
        <v/>
      </c>
    </row>
    <row r="50" spans="14:14" x14ac:dyDescent="0.25">
      <c r="N50" s="71" t="str">
        <f>IF(M50="","",SUMIF(SALES!F:F,M50,SALES!I:I))</f>
        <v/>
      </c>
    </row>
    <row r="51" spans="14:14" x14ac:dyDescent="0.25">
      <c r="N51" s="71" t="str">
        <f>IF(M51="","",SUMIF(SALES!F:F,M51,SALES!I:I))</f>
        <v/>
      </c>
    </row>
    <row r="52" spans="14:14" x14ac:dyDescent="0.25">
      <c r="N52" s="71" t="str">
        <f>IF(M52="","",SUMIF(SALES!F:F,M52,SALES!I:I))</f>
        <v/>
      </c>
    </row>
    <row r="53" spans="14:14" x14ac:dyDescent="0.25">
      <c r="N53" s="71" t="str">
        <f>IF(M53="","",SUMIF(SALES!F:F,M53,SALES!I:I))</f>
        <v/>
      </c>
    </row>
    <row r="54" spans="14:14" x14ac:dyDescent="0.25">
      <c r="N54" s="71" t="str">
        <f>IF(M54="","",SUMIF(SALES!F:F,M54,SALES!I:I))</f>
        <v/>
      </c>
    </row>
    <row r="55" spans="14:14" x14ac:dyDescent="0.25">
      <c r="N55" s="71" t="str">
        <f>IF(M55="","",SUMIF(SALES!F:F,M55,SALES!I:I))</f>
        <v/>
      </c>
    </row>
    <row r="56" spans="14:14" x14ac:dyDescent="0.25">
      <c r="N56" s="71" t="str">
        <f>IF(M56="","",SUMIF(SALES!F:F,M56,SALES!I:I))</f>
        <v/>
      </c>
    </row>
    <row r="57" spans="14:14" x14ac:dyDescent="0.25">
      <c r="N57" s="71" t="str">
        <f>IF(M57="","",SUMIF(SALES!F:F,M57,SALES!I:I))</f>
        <v/>
      </c>
    </row>
    <row r="58" spans="14:14" x14ac:dyDescent="0.25">
      <c r="N58" s="71" t="str">
        <f>IF(M58="","",SUMIF(SALES!F:F,M58,SALES!I:I))</f>
        <v/>
      </c>
    </row>
    <row r="59" spans="14:14" x14ac:dyDescent="0.25">
      <c r="N59" s="71" t="str">
        <f>IF(M59="","",SUMIF(SALES!F:F,M59,SALES!I:I))</f>
        <v/>
      </c>
    </row>
    <row r="60" spans="14:14" x14ac:dyDescent="0.25">
      <c r="N60" s="71" t="str">
        <f>IF(M60="","",SUMIF(SALES!F:F,M60,SALES!I:I))</f>
        <v/>
      </c>
    </row>
    <row r="61" spans="14:14" x14ac:dyDescent="0.25">
      <c r="N61" s="71" t="str">
        <f>IF(M61="","",SUMIF(SALES!F:F,M61,SALES!I:I))</f>
        <v/>
      </c>
    </row>
    <row r="62" spans="14:14" x14ac:dyDescent="0.25">
      <c r="N62" s="71" t="str">
        <f>IF(M62="","",SUMIF(SALES!F:F,M62,SALES!I:I))</f>
        <v/>
      </c>
    </row>
    <row r="63" spans="14:14" x14ac:dyDescent="0.25">
      <c r="N63" s="71" t="str">
        <f>IF(M63="","",SUMIF(SALES!F:F,M63,SALES!I:I))</f>
        <v/>
      </c>
    </row>
    <row r="64" spans="14:14" x14ac:dyDescent="0.25">
      <c r="N64" s="71" t="str">
        <f>IF(M64="","",SUMIF(SALES!F:F,M64,SALES!I:I))</f>
        <v/>
      </c>
    </row>
    <row r="65" spans="14:14" x14ac:dyDescent="0.25">
      <c r="N65" s="71" t="str">
        <f>IF(M65="","",SUMIF(SALES!F:F,M65,SALES!I:I))</f>
        <v/>
      </c>
    </row>
    <row r="66" spans="14:14" x14ac:dyDescent="0.25">
      <c r="N66" s="71" t="str">
        <f>IF(M66="","",SUMIF(SALES!F:F,M66,SALES!I:I))</f>
        <v/>
      </c>
    </row>
    <row r="67" spans="14:14" x14ac:dyDescent="0.25">
      <c r="N67" s="71" t="str">
        <f>IF(M67="","",SUMIF(SALES!F:F,M67,SALES!I:I))</f>
        <v/>
      </c>
    </row>
    <row r="68" spans="14:14" x14ac:dyDescent="0.25">
      <c r="N68" s="71" t="str">
        <f>IF(M68="","",SUMIF(SALES!F:F,M68,SALES!I:I))</f>
        <v/>
      </c>
    </row>
    <row r="69" spans="14:14" x14ac:dyDescent="0.25">
      <c r="N69" s="71" t="str">
        <f>IF(M69="","",SUMIF(SALES!F:F,M69,SALES!I:I))</f>
        <v/>
      </c>
    </row>
    <row r="70" spans="14:14" x14ac:dyDescent="0.25">
      <c r="N70" s="71" t="str">
        <f>IF(M70="","",SUMIF(SALES!F:F,M70,SALES!I:I))</f>
        <v/>
      </c>
    </row>
    <row r="71" spans="14:14" x14ac:dyDescent="0.25">
      <c r="N71" s="71" t="str">
        <f>IF(M71="","",SUMIF(SALES!F:F,M71,SALES!I:I))</f>
        <v/>
      </c>
    </row>
    <row r="72" spans="14:14" x14ac:dyDescent="0.25">
      <c r="N72" s="71" t="str">
        <f>IF(M72="","",SUMIF(SALES!F:F,M72,SALES!I:I))</f>
        <v/>
      </c>
    </row>
    <row r="73" spans="14:14" x14ac:dyDescent="0.25">
      <c r="N73" s="71" t="str">
        <f>IF(M73="","",SUMIF(SALES!F:F,M73,SALES!I:I))</f>
        <v/>
      </c>
    </row>
    <row r="74" spans="14:14" x14ac:dyDescent="0.25">
      <c r="N74" s="71" t="str">
        <f>IF(M74="","",SUMIF(SALES!F:F,M74,SALES!I:I))</f>
        <v/>
      </c>
    </row>
    <row r="75" spans="14:14" x14ac:dyDescent="0.25">
      <c r="N75" s="71" t="str">
        <f>IF(M75="","",SUMIF(SALES!F:F,M75,SALES!I:I))</f>
        <v/>
      </c>
    </row>
    <row r="76" spans="14:14" x14ac:dyDescent="0.25">
      <c r="N76" s="71" t="str">
        <f>IF(M76="","",SUMIF(SALES!F:F,M76,SALES!I:I))</f>
        <v/>
      </c>
    </row>
    <row r="77" spans="14:14" x14ac:dyDescent="0.25">
      <c r="N77" s="71" t="str">
        <f>IF(M77="","",SUMIF(SALES!F:F,M77,SALES!I:I))</f>
        <v/>
      </c>
    </row>
    <row r="78" spans="14:14" x14ac:dyDescent="0.25">
      <c r="N78" s="71" t="str">
        <f>IF(M78="","",SUMIF(SALES!F:F,M78,SALES!I:I))</f>
        <v/>
      </c>
    </row>
    <row r="79" spans="14:14" x14ac:dyDescent="0.25">
      <c r="N79" s="71" t="str">
        <f>IF(M79="","",SUMIF(SALES!F:F,M79,SALES!I:I))</f>
        <v/>
      </c>
    </row>
    <row r="80" spans="14:14" x14ac:dyDescent="0.25">
      <c r="N80" s="71" t="str">
        <f>IF(M80="","",SUMIF(SALES!F:F,M80,SALES!I:I))</f>
        <v/>
      </c>
    </row>
  </sheetData>
  <sheetProtection sheet="1" scenarios="1" formatColumns="0"/>
  <mergeCells count="42">
    <mergeCell ref="A31:B31"/>
    <mergeCell ref="A39:E39"/>
    <mergeCell ref="A36:B36"/>
    <mergeCell ref="A37:B37"/>
    <mergeCell ref="A38:B38"/>
    <mergeCell ref="C36:D36"/>
    <mergeCell ref="C37:D37"/>
    <mergeCell ref="C38:D38"/>
    <mergeCell ref="E36:F36"/>
    <mergeCell ref="E37:F37"/>
    <mergeCell ref="E38:F38"/>
    <mergeCell ref="A1:H1"/>
    <mergeCell ref="A2:H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A8:H8"/>
    <mergeCell ref="A24:C24"/>
    <mergeCell ref="E24:H24"/>
    <mergeCell ref="E21:F21"/>
    <mergeCell ref="E22:F22"/>
    <mergeCell ref="G21:H21"/>
    <mergeCell ref="G22:H22"/>
    <mergeCell ref="A20:C20"/>
    <mergeCell ref="E20:H20"/>
    <mergeCell ref="E25:F25"/>
    <mergeCell ref="E26:F26"/>
    <mergeCell ref="E27:F27"/>
    <mergeCell ref="E28:F28"/>
    <mergeCell ref="G25:H25"/>
    <mergeCell ref="G26:H26"/>
    <mergeCell ref="G27:H27"/>
    <mergeCell ref="G28:H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oHome">
                <anchor moveWithCells="1" sizeWithCells="1">
                  <from>
                    <xdr:col>0</xdr:col>
                    <xdr:colOff>180975</xdr:colOff>
                    <xdr:row>0</xdr:row>
                    <xdr:rowOff>28575</xdr:rowOff>
                  </from>
                  <to>
                    <xdr:col>1</xdr:col>
                    <xdr:colOff>38100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D7607-DBE7-4A5F-9B86-A82E75C6F16E}">
  <sheetPr codeName="Sheet8">
    <tabColor rgb="FF1B365D"/>
  </sheetPr>
  <dimension ref="A1:AM59"/>
  <sheetViews>
    <sheetView showGridLines="0" topLeftCell="X1" workbookViewId="0">
      <selection activeCell="AM19" sqref="AM19"/>
    </sheetView>
  </sheetViews>
  <sheetFormatPr defaultRowHeight="15" x14ac:dyDescent="0.25"/>
  <cols>
    <col min="1" max="12" width="22.85546875" customWidth="1"/>
    <col min="16" max="16" width="21" customWidth="1"/>
    <col min="17" max="17" width="26.7109375" customWidth="1"/>
    <col min="18" max="18" width="21" customWidth="1"/>
    <col min="19" max="21" width="22.85546875" customWidth="1"/>
    <col min="23" max="23" width="24.7109375" customWidth="1"/>
    <col min="24" max="24" width="22.85546875" customWidth="1"/>
    <col min="26" max="26" width="14" bestFit="1" customWidth="1"/>
    <col min="27" max="27" width="8.7109375" bestFit="1" customWidth="1"/>
    <col min="30" max="33" width="0" hidden="1" customWidth="1"/>
    <col min="35" max="35" width="32.42578125" customWidth="1"/>
    <col min="36" max="36" width="24.7109375" customWidth="1"/>
    <col min="39" max="39" width="29.7109375" bestFit="1" customWidth="1"/>
  </cols>
  <sheetData>
    <row r="1" spans="1:39" ht="32.1" customHeight="1" x14ac:dyDescent="0.25">
      <c r="A1" s="172" t="s">
        <v>747</v>
      </c>
      <c r="B1" s="173"/>
      <c r="C1" s="173"/>
      <c r="D1" s="174"/>
      <c r="F1" s="230" t="str">
        <f>$B$11</f>
        <v>Monthly Business Report</v>
      </c>
      <c r="G1" s="231"/>
      <c r="H1" s="231"/>
      <c r="I1" s="232"/>
      <c r="K1" s="94" t="s">
        <v>732</v>
      </c>
      <c r="AK1" s="1">
        <f>DATE($K$12,$K$11,1)-1</f>
        <v>46265</v>
      </c>
    </row>
    <row r="2" spans="1:39" ht="21.95" customHeight="1" x14ac:dyDescent="0.25">
      <c r="A2" s="95"/>
      <c r="D2" s="96"/>
      <c r="F2" s="233" t="str">
        <f>$B$12</f>
        <v>Sep-2026</v>
      </c>
      <c r="G2" s="234"/>
      <c r="H2" s="234"/>
      <c r="I2" s="235"/>
      <c r="K2" s="94" t="s">
        <v>733</v>
      </c>
      <c r="P2" s="211" t="s">
        <v>959</v>
      </c>
      <c r="Q2" s="211"/>
      <c r="R2" s="211"/>
      <c r="S2" t="str" cm="1">
        <f t="array" ref="S2:S5">_xlfn.UNIQUE(_xlfn._xlws.FILTER(SALES!J3:J200,SALES!J3:J200&lt;&gt;""))</f>
        <v>UPI</v>
      </c>
      <c r="T2" cm="1">
        <f t="array" ref="T2">IF(S2="","",SUMPRODUCT((SALES!J3:J200=S2)*(IFERROR(DATEVALUE(LEFT(SALES!B3:B200,10)),0)&gt;=$AK$1)*(IFERROR(DATEVALUE(LEFT(SALES!B3:B200,10)),0)&lt;$AK$2)))</f>
        <v>21</v>
      </c>
      <c r="U2" s="71" cm="1">
        <f t="array" ref="U2">IF(S2="","",SUMPRODUCT((SALES!J3:J200=S2)*(IFERROR(DATEVALUE(LEFT(SALES!B3:B200,10)),0)&gt;=$AK$1)*(IFERROR(DATEVALUE(LEFT(SALES!B3:B200,10)),0)&lt;$AK$2)*(SALES!I3:I200)))</f>
        <v>173746</v>
      </c>
      <c r="W2" s="211" t="s">
        <v>975</v>
      </c>
      <c r="X2" s="211"/>
      <c r="Y2" s="211" t="s">
        <v>983</v>
      </c>
      <c r="Z2" s="211"/>
      <c r="AA2" s="211"/>
      <c r="AB2" s="211"/>
      <c r="AD2" t="str" cm="1">
        <f t="array" ref="AD2:AD10">_xlfn.UNIQUE(_xlfn._xlws.FILTER(SALES!K3:K200,SALES!K3:K200&lt;&gt;""))</f>
        <v>EMP001</v>
      </c>
      <c r="AE2" cm="1">
        <f t="array" ref="AE2">IF(AD2="","",SUMPRODUCT((SALES!K3:K200=AD2)*(IFERROR(DATEVALUE(LEFT(SALES!B3:B200,10)),0)&gt;=$AK$1)*(IFERROR(DATEVALUE(LEFT(SALES!B3:B200,10)),0)&lt;$AK$2)))</f>
        <v>10</v>
      </c>
      <c r="AF2" cm="1">
        <f t="array" ref="AF2">IF(AD2="","",SUMPRODUCT((SALES!K3:K200=AD2)*(IFERROR(DATEVALUE(LEFT(SALES!B3:B200,10)),0)&gt;=$AK$1)*(IFERROR(DATEVALUE(LEFT(SALES!B3:B200,10)),0)&lt;$AK$2)*(SALES!G3:G200)))</f>
        <v>38</v>
      </c>
      <c r="AG2" cm="1">
        <f t="array" ref="AG2">IF(AD2="","",SUMPRODUCT((SALES!K3:K200=AD2)*(IFERROR(DATEVALUE(LEFT(SALES!B3:B200,10)),0)&gt;=$AK$1)*(IFERROR(DATEVALUE(LEFT(SALES!B3:B200,10)),0)&lt;$AK$2)*(SALES!I3:I200)))</f>
        <v>197076</v>
      </c>
      <c r="AI2" s="211" t="s">
        <v>985</v>
      </c>
      <c r="AJ2" s="211"/>
      <c r="AK2" s="1">
        <f>EDATE(DATE($K$12,$K$11,1),1)</f>
        <v>46296</v>
      </c>
      <c r="AM2" s="97" t="s">
        <v>992</v>
      </c>
    </row>
    <row r="3" spans="1:39" ht="21.95" customHeight="1" x14ac:dyDescent="0.25">
      <c r="A3" s="221" t="s">
        <v>5</v>
      </c>
      <c r="B3" s="222"/>
      <c r="C3" s="222"/>
      <c r="D3" s="223"/>
      <c r="F3" s="95"/>
      <c r="I3" s="96"/>
      <c r="K3" s="98"/>
      <c r="P3" s="90" t="s">
        <v>672</v>
      </c>
      <c r="Q3" s="90" t="s">
        <v>958</v>
      </c>
      <c r="R3" s="90" t="s">
        <v>955</v>
      </c>
      <c r="S3" t="str">
        <v>Cash</v>
      </c>
      <c r="T3" cm="1">
        <f t="array" ref="T3">IF(S3="","",SUMPRODUCT((SALES!J3:J200=S3)*(IFERROR(DATEVALUE(LEFT(SALES!B3:B200,10)),0)&gt;=$AK$1)*(IFERROR(DATEVALUE(LEFT(SALES!B3:B200,10)),0)&lt;$AK$2)))</f>
        <v>15</v>
      </c>
      <c r="U3" s="71" cm="1">
        <f t="array" ref="U3">IF(S3="","",SUMPRODUCT((SALES!J3:J200=S3)*(IFERROR(DATEVALUE(LEFT(SALES!B3:B200,10)),0)&gt;=$AK$1)*(IFERROR(DATEVALUE(LEFT(SALES!B3:B200,10)),0)&lt;$AK$2)*(SALES!I3:I200)))</f>
        <v>33264</v>
      </c>
      <c r="W3" s="54" t="s">
        <v>788</v>
      </c>
      <c r="X3" s="93" t="str">
        <f>SETTINGS!C15</f>
        <v>Sep-2026</v>
      </c>
      <c r="Y3" s="237" t="str">
        <f>SETTINGS!C15</f>
        <v>Sep-2026</v>
      </c>
      <c r="Z3" s="237"/>
      <c r="AA3" s="237"/>
      <c r="AB3" s="237"/>
      <c r="AD3" t="str">
        <v>EMP002</v>
      </c>
      <c r="AE3" cm="1">
        <f t="array" ref="AE3">IF(AD3="","",SUMPRODUCT((SALES!K3:K200=AD3)*(IFERROR(DATEVALUE(LEFT(SALES!B3:B200,10)),0)&gt;=$AK$1)*(IFERROR(DATEVALUE(LEFT(SALES!B3:B200,10)),0)&lt;$AK$2)))</f>
        <v>10</v>
      </c>
      <c r="AF3" cm="1">
        <f t="array" ref="AF3">IF(AD3="","",SUMPRODUCT((SALES!K3:K200=AD3)*(IFERROR(DATEVALUE(LEFT(SALES!B3:B200,10)),0)&gt;=$AK$1)*(IFERROR(DATEVALUE(LEFT(SALES!B3:B200,10)),0)&lt;$AK$2)*(SALES!G3:G200)))</f>
        <v>49</v>
      </c>
      <c r="AG3" cm="1">
        <f t="array" ref="AG3">IF(AD3="","",SUMPRODUCT((SALES!K3:K200=AD3)*(IFERROR(DATEVALUE(LEFT(SALES!B3:B200,10)),0)&gt;=$AK$1)*(IFERROR(DATEVALUE(LEFT(SALES!B3:B200,10)),0)&lt;$AK$2)*(SALES!I3:I200)))</f>
        <v>23482</v>
      </c>
      <c r="AI3" s="54" t="s">
        <v>986</v>
      </c>
      <c r="AJ3" s="99">
        <f>SUM(INVENTORY!J:J)</f>
        <v>914</v>
      </c>
      <c r="AK3" s="1" cm="1">
        <f t="array" ref="AK3">SUMPRODUCT(IFERROR(DATEVALUE(LEFT(SALES!B3:B54,10)),0))</f>
        <v>2313850</v>
      </c>
      <c r="AM3" t="str" cm="1">
        <f t="array" ref="AM3">IFERROR(_xlfn.UNIQUE(_xlfn._xlws.FILTER(SALES!C3:C200,(SALES!C3:C200&lt;&gt;"")*(COUNTIF(CUSTOMERS!A:A,SALES!C3:C200)=0))),"None")</f>
        <v>None</v>
      </c>
    </row>
    <row r="4" spans="1:39" ht="21.95" customHeight="1" x14ac:dyDescent="0.25">
      <c r="A4" s="212" t="s">
        <v>748</v>
      </c>
      <c r="B4" s="213"/>
      <c r="C4" s="213"/>
      <c r="D4" s="214"/>
      <c r="F4" s="221" t="s">
        <v>758</v>
      </c>
      <c r="G4" s="222"/>
      <c r="H4" s="222" t="s">
        <v>759</v>
      </c>
      <c r="I4" s="223"/>
      <c r="K4" s="98" t="s">
        <v>748</v>
      </c>
      <c r="P4" s="91" t="s">
        <v>733</v>
      </c>
      <c r="Q4" s="92" cm="1">
        <f t="array" ref="Q4">SUMPRODUCT((IFERROR(DATEVALUE(LEFT(SALES!B3:B200,10)),0)&gt;=DATE(2026,8,1))*(IFERROR(DATEVALUE(LEFT(SALES!B3:B200,10)),0)&lt;DATE(2026,9,1)))</f>
        <v>2</v>
      </c>
      <c r="R4" s="88" cm="1">
        <f t="array" ref="R4">SUMPRODUCT((IFERROR(DATEVALUE(LEFT(SALES!B3:B200,10)),0)&gt;=DATE(2026,8,1))*(IFERROR(DATEVALUE(LEFT(SALES!B3:B200,10)),0)&lt;DATE(2026,9,1))*(SALES!I3:I200))</f>
        <v>48200</v>
      </c>
      <c r="S4" t="str">
        <v>Card</v>
      </c>
      <c r="T4" cm="1">
        <f t="array" ref="T4">IF(S4="","",SUMPRODUCT((SALES!J3:J200=S4)*(IFERROR(DATEVALUE(LEFT(SALES!B3:B200,10)),0)&gt;=$AK$1)*(IFERROR(DATEVALUE(LEFT(SALES!B3:B200,10)),0)&lt;$AK$2)))</f>
        <v>8</v>
      </c>
      <c r="U4" s="71" cm="1">
        <f t="array" ref="U4">IF(S4="","",SUMPRODUCT((SALES!J3:J200=S4)*(IFERROR(DATEVALUE(LEFT(SALES!B3:B200,10)),0)&gt;=$AK$1)*(IFERROR(DATEVALUE(LEFT(SALES!B3:B200,10)),0)&lt;$AK$2)*(SALES!I3:I200)))</f>
        <v>105195</v>
      </c>
      <c r="W4" s="54" t="s">
        <v>958</v>
      </c>
      <c r="X4" s="92" cm="1">
        <f t="array" ref="X4">SUMPRODUCT((IFERROR(DATEVALUE(LEFT(SALES!B3:B200,10)),0)&gt;=$AK$1)*(IFERROR(DATEVALUE(LEFT(SALES!B3:B200,10)),0)&lt;$AK$2))</f>
        <v>50</v>
      </c>
      <c r="Y4" s="90" t="s">
        <v>609</v>
      </c>
      <c r="Z4" s="90" t="s">
        <v>958</v>
      </c>
      <c r="AA4" s="90" t="s">
        <v>984</v>
      </c>
      <c r="AB4" s="90" t="s">
        <v>955</v>
      </c>
      <c r="AD4" t="str">
        <v>EMP006</v>
      </c>
      <c r="AE4" cm="1">
        <f t="array" ref="AE4">IF(AD4="","",SUMPRODUCT((SALES!K3:K200=AD4)*(IFERROR(DATEVALUE(LEFT(SALES!B3:B200,10)),0)&gt;=$AK$1)*(IFERROR(DATEVALUE(LEFT(SALES!B3:B200,10)),0)&lt;$AK$2)))</f>
        <v>8</v>
      </c>
      <c r="AF4" cm="1">
        <f t="array" ref="AF4">IF(AD4="","",SUMPRODUCT((SALES!K3:K200=AD4)*(IFERROR(DATEVALUE(LEFT(SALES!B3:B200,10)),0)&gt;=$AK$1)*(IFERROR(DATEVALUE(LEFT(SALES!B3:B200,10)),0)&lt;$AK$2)*(SALES!G3:G200)))</f>
        <v>23</v>
      </c>
      <c r="AG4" cm="1">
        <f t="array" ref="AG4">IF(AD4="","",SUMPRODUCT((SALES!K3:K200=AD4)*(IFERROR(DATEVALUE(LEFT(SALES!B3:B200,10)),0)&gt;=$AK$1)*(IFERROR(DATEVALUE(LEFT(SALES!B3:B200,10)),0)&lt;$AK$2)*(SALES!I3:I200)))</f>
        <v>89414</v>
      </c>
      <c r="AI4" s="54" t="s">
        <v>987</v>
      </c>
      <c r="AJ4" s="88">
        <f>SUMPRODUCT(INVENTORY!J3:J80,INVENTORY!E3:E80)</f>
        <v>1817410</v>
      </c>
      <c r="AK4" s="1">
        <f>COUNTA(SALES!B3:B54)</f>
        <v>52</v>
      </c>
    </row>
    <row r="5" spans="1:39" ht="21.95" customHeight="1" x14ac:dyDescent="0.25">
      <c r="A5" s="215" t="s">
        <v>749</v>
      </c>
      <c r="B5" s="216"/>
      <c r="C5" s="216"/>
      <c r="D5" s="217"/>
      <c r="F5" s="200" t="str">
        <f>IF($B$11="Employee Report","Headcount",IF($B$11="Payroll Report","Net payroll",IF($B$11="Inventory Report","Units on hand",IF($B$11="Sales Report","Completed sales",IF($B$11="Customer Report","Customers","Completed sales")))))</f>
        <v>Completed sales</v>
      </c>
      <c r="G5" s="201"/>
      <c r="H5" s="202">
        <f>IF($B$11="Employee Report",COUNTA(EMPLOYEES!A3:A52),IF($B$11="Payroll Report",SUMIF(PAYROLL!B3:B53,$B$12,PAYROLL!K3:K53),IF($B$11="Inventory Report",SUM(INVENTORY!J3:J54),IF($B$11="Sales Report",SUMIF(SALES!L3:L55,"Completed",SALES!I3:I55),IF($B$11="Customer Report",COUNTA(CUSTOMERS!A3:A53),SUMIF(SALES!L3:L55,"Completed",SALES!I3:I55))))))</f>
        <v>457624</v>
      </c>
      <c r="I5" s="203"/>
      <c r="K5" s="98" t="s">
        <v>749</v>
      </c>
      <c r="P5" s="91" t="s">
        <v>962</v>
      </c>
      <c r="Q5" s="92">
        <f>X4</f>
        <v>50</v>
      </c>
      <c r="R5" s="88">
        <f>X5</f>
        <v>457699</v>
      </c>
      <c r="S5" t="str">
        <v>Bank Transfer</v>
      </c>
      <c r="T5" cm="1">
        <f t="array" ref="T5">IF(S5="","",SUMPRODUCT((SALES!J3:J200=S5)*(IFERROR(DATEVALUE(LEFT(SALES!B3:B200,10)),0)&gt;=$AK$1)*(IFERROR(DATEVALUE(LEFT(SALES!B3:B200,10)),0)&lt;$AK$2)))</f>
        <v>6</v>
      </c>
      <c r="U5" s="71" cm="1">
        <f t="array" ref="U5">IF(S5="","",SUMPRODUCT((SALES!J3:J200=S5)*(IFERROR(DATEVALUE(LEFT(SALES!B3:B200,10)),0)&gt;=$AK$1)*(IFERROR(DATEVALUE(LEFT(SALES!B3:B200,10)),0)&lt;$AK$2)*(SALES!I3:I200)))</f>
        <v>145494</v>
      </c>
      <c r="W5" s="54" t="s">
        <v>976</v>
      </c>
      <c r="X5" s="88" cm="1">
        <f t="array" ref="X5">SUMPRODUCT((IFERROR(DATEVALUE(LEFT(SALES!B3:B200,10)),0)&gt;=$AK$1)*(IFERROR(DATEVALUE(LEFT(SALES!B3:B200,10)),0)&lt;$AK$2)*(SALES!I3:I200))</f>
        <v>457699</v>
      </c>
      <c r="Y5" s="87" t="str">
        <f>IFERROR(INDEX($AD$2:$AD$16,MATCH(LARGE($AG$2:$AG$16,1),$AG$2:$AG$16,0)),"")</f>
        <v>EMP001</v>
      </c>
      <c r="Z5" s="87">
        <f>IF(Y5="","",INDEX($AE$2:$AE$16,MATCH(LARGE($AG$2:$AG$16,1),$AG$2:$AG$16,0)))</f>
        <v>10</v>
      </c>
      <c r="AA5" s="87">
        <f>IF(Y5="","",INDEX($AF$2:$AF$16,MATCH(LARGE($AG$2:$AG$16,1),$AG$2:$AG$16,0)))</f>
        <v>38</v>
      </c>
      <c r="AB5" s="100">
        <f>IF(Y5="","",LARGE($AG$2:$AG$16,1))</f>
        <v>197076</v>
      </c>
      <c r="AD5" t="str">
        <v>EMP010</v>
      </c>
      <c r="AE5" cm="1">
        <f t="array" ref="AE5">IF(AD5="","",SUMPRODUCT((SALES!K3:K200=AD5)*(IFERROR(DATEVALUE(LEFT(SALES!B3:B200,10)),0)&gt;=$AK$1)*(IFERROR(DATEVALUE(LEFT(SALES!B3:B200,10)),0)&lt;$AK$2)))</f>
        <v>8</v>
      </c>
      <c r="AF5" cm="1">
        <f t="array" ref="AF5">IF(AD5="","",SUMPRODUCT((SALES!K3:K200=AD5)*(IFERROR(DATEVALUE(LEFT(SALES!B3:B200,10)),0)&gt;=$AK$1)*(IFERROR(DATEVALUE(LEFT(SALES!B3:B200,10)),0)&lt;$AK$2)*(SALES!G3:G200)))</f>
        <v>42</v>
      </c>
      <c r="AG5" cm="1">
        <f t="array" ref="AG5">IF(AD5="","",SUMPRODUCT((SALES!K3:K200=AD5)*(IFERROR(DATEVALUE(LEFT(SALES!B3:B200,10)),0)&gt;=$AK$1)*(IFERROR(DATEVALUE(LEFT(SALES!B3:B200,10)),0)&lt;$AK$2)*(SALES!I3:I200)))</f>
        <v>46648</v>
      </c>
      <c r="AI5" s="54" t="s">
        <v>988</v>
      </c>
      <c r="AJ5" s="88">
        <f>SUMPRODUCT(INVENTORY!J3:J80,INVENTORY!F3:F80)</f>
        <v>2365843</v>
      </c>
      <c r="AK5" s="1">
        <f>MIN(SALES!B3:B54)</f>
        <v>0</v>
      </c>
    </row>
    <row r="6" spans="1:39" ht="21.95" customHeight="1" x14ac:dyDescent="0.25">
      <c r="A6" s="212" t="s">
        <v>750</v>
      </c>
      <c r="B6" s="213"/>
      <c r="C6" s="213"/>
      <c r="D6" s="214"/>
      <c r="F6" s="204" t="str">
        <f>IF($B$11="Employee Report","Active staff",IF($B$11="Payroll Report","Amount paid",IF($B$11="Inventory Report","Low stock items",IF($B$11="Sales Report","Invoices",IF($B$11="Customer Report","Active customers","Staff")))))</f>
        <v>Staff</v>
      </c>
      <c r="G6" s="205"/>
      <c r="H6" s="206">
        <f>IF($B$11="Employee Report",COUNTIF(EMPLOYEES!I3:I52,"Active"),IF($B$11="Payroll Report",SUMIFS(PAYROLL!K3:K53,PAYROLL!B3:B53,$B$12,PAYROLL!L3:L53,"Paid"),IF($B$11="Inventory Report",COUNTIF(INVENTORY!L3:L54,"LOW"),IF($B$11="Sales Report",COUNTA(SALES!A3:A55),IF($B$11="Customer Report",COUNTIF(CUSTOMERS!I3:I53,"Active"),COUNTA(EMPLOYEES!A3:A52))))))</f>
        <v>50</v>
      </c>
      <c r="I6" s="207"/>
      <c r="K6" s="98" t="s">
        <v>750</v>
      </c>
      <c r="P6" s="91" t="s">
        <v>960</v>
      </c>
      <c r="Q6" s="92" cm="1">
        <f t="array" ref="Q6">SUMPRODUCT((IFERROR(DATEVALUE(LEFT(SALES!B3:B200,10)),0)&gt;=DATE(2026,10,1))*(IFERROR(DATEVALUE(LEFT(SALES!B3:B200,10)),0)&lt;DATE(2026,11,1)))</f>
        <v>0</v>
      </c>
      <c r="R6" s="88" cm="1">
        <f t="array" ref="R6">SUMPRODUCT((IFERROR(DATEVALUE(LEFT(SALES!B3:B200,10)),0)&gt;=DATE(2026,10,1))*(IFERROR(DATEVALUE(LEFT(SALES!B3:B200,10)),0)&lt;DATE(2026,11,1))*(SALES!I3:I200))</f>
        <v>0</v>
      </c>
      <c r="T6" t="str" cm="1">
        <f t="array" ref="T6">IF(S6="","",SUMPRODUCT((SALES!J3:J200=S6)*(IFERROR(DATEVALUE(LEFT(SALES!B3:B200,10)),0)&gt;=$AK$1)*(IFERROR(DATEVALUE(LEFT(SALES!B3:B200,10)),0)&lt;$AK$2)))</f>
        <v/>
      </c>
      <c r="U6" s="71" t="str" cm="1">
        <f t="array" ref="U6">IF(S6="","",SUMPRODUCT((SALES!J3:J200=S6)*(IFERROR(DATEVALUE(LEFT(SALES!B3:B200,10)),0)&gt;=$AK$1)*(IFERROR(DATEVALUE(LEFT(SALES!B3:B200,10)),0)&lt;$AK$2)*(SALES!I3:I200)))</f>
        <v/>
      </c>
      <c r="W6" s="54" t="s">
        <v>977</v>
      </c>
      <c r="X6" s="88" cm="1">
        <f t="array" ref="X6">SUMPRODUCT((IFERROR(DATEVALUE(LEFT(SALES!B3:B200,10)),0)&gt;=$AK$1)*(IFERROR(DATEVALUE(LEFT(SALES!B3:B200,10)),0)&lt;$AK$2)*(SALES!G3:G200)*SUMIF(INVENTORY!A3:A80,SALES!E3:E200,INVENTORY!E3:E80))</f>
        <v>362650</v>
      </c>
      <c r="Y6" s="87" t="str">
        <f>IFERROR(INDEX($AD$2:$AD$16,MATCH(LARGE($AG$2:$AG$16,2),$AG$2:$AG$16,0)),"")</f>
        <v>EMP006</v>
      </c>
      <c r="Z6" s="87">
        <f>IF(Y6="","",INDEX($AE$2:$AE$16,MATCH(LARGE($AG$2:$AG$16,2),$AG$2:$AG$16,0)))</f>
        <v>8</v>
      </c>
      <c r="AA6" s="87">
        <f>IF(Y6="","",INDEX($AF$2:$AF$16,MATCH(LARGE($AG$2:$AG$16,2),$AG$2:$AG$16,0)))</f>
        <v>23</v>
      </c>
      <c r="AB6" s="100">
        <f>IF(Y6="","",LARGE($AG$2:$AG$16,2))</f>
        <v>89414</v>
      </c>
      <c r="AD6" t="str">
        <v>EMP018</v>
      </c>
      <c r="AE6" cm="1">
        <f t="array" ref="AE6">IF(AD6="","",SUMPRODUCT((SALES!K3:K200=AD6)*(IFERROR(DATEVALUE(LEFT(SALES!B3:B200,10)),0)&gt;=$AK$1)*(IFERROR(DATEVALUE(LEFT(SALES!B3:B200,10)),0)&lt;$AK$2)))</f>
        <v>7</v>
      </c>
      <c r="AF6" cm="1">
        <f t="array" ref="AF6">IF(AD6="","",SUMPRODUCT((SALES!K3:K200=AD6)*(IFERROR(DATEVALUE(LEFT(SALES!B3:B200,10)),0)&gt;=$AK$1)*(IFERROR(DATEVALUE(LEFT(SALES!B3:B200,10)),0)&lt;$AK$2)*(SALES!G3:G200)))</f>
        <v>10</v>
      </c>
      <c r="AG6" cm="1">
        <f t="array" ref="AG6">IF(AD6="","",SUMPRODUCT((SALES!K3:K200=AD6)*(IFERROR(DATEVALUE(LEFT(SALES!B3:B200,10)),0)&gt;=$AK$1)*(IFERROR(DATEVALUE(LEFT(SALES!B3:B200,10)),0)&lt;$AK$2)*(SALES!I3:I200)))</f>
        <v>68591</v>
      </c>
      <c r="AI6" s="54" t="s">
        <v>989</v>
      </c>
      <c r="AJ6" s="88">
        <f>AJ5-AJ4</f>
        <v>548433</v>
      </c>
      <c r="AK6" s="1">
        <f>MAX(SALES!B3:B54)</f>
        <v>0</v>
      </c>
    </row>
    <row r="7" spans="1:39" ht="21.95" customHeight="1" x14ac:dyDescent="0.25">
      <c r="A7" s="215" t="s">
        <v>751</v>
      </c>
      <c r="B7" s="216"/>
      <c r="C7" s="216"/>
      <c r="D7" s="217"/>
      <c r="F7" s="200" t="str">
        <f>IF($B$11="Employee Report","Inactive staff",IF($B$11="Payroll Report","Pending / unpaid",IF($B$11="Inventory Report","Out of stock",IF($B$11="Sales Report","Pending invoices",IF($B$11="Customer Report","Inactive customers","Customers")))))</f>
        <v>Customers</v>
      </c>
      <c r="G7" s="201"/>
      <c r="H7" s="202">
        <f>IF($B$11="Employee Report",COUNTIF(EMPLOYEES!I3:I52,"Inactive"),IF($B$11="Payroll Report",SUMIFS(PAYROLL!K3:K53,PAYROLL!B3:B53,$B$12,PAYROLL!L3:L53,"Pending")+SUMIFS(PAYROLL!K3:K53,PAYROLL!B3:B53,$B$12,PAYROLL!L3:L53,"Unpaid"),IF($B$11="Inventory Report",COUNTIF(INVENTORY!J3:J54,0),IF($B$11="Sales Report",COUNTIF(SALES!L3:L55,"Pending"),IF($B$11="Customer Report",COUNTIF(CUSTOMERS!I3:I53,"Inactive"),COUNTA(CUSTOMERS!A3:A53))))))</f>
        <v>51</v>
      </c>
      <c r="I7" s="203"/>
      <c r="K7" s="98" t="s">
        <v>751</v>
      </c>
      <c r="T7" t="str" cm="1">
        <f t="array" ref="T7">IF(S7="","",SUMPRODUCT((SALES!J3:J200=S7)*(IFERROR(DATEVALUE(LEFT(SALES!B3:B200,10)),0)&gt;=$AK$1)*(IFERROR(DATEVALUE(LEFT(SALES!B3:B200,10)),0)&lt;$AK$2)))</f>
        <v/>
      </c>
      <c r="U7" s="71" t="str" cm="1">
        <f t="array" ref="U7">IF(S7="","",SUMPRODUCT((SALES!J3:J200=S7)*(IFERROR(DATEVALUE(LEFT(SALES!B3:B200,10)),0)&gt;=$AK$1)*(IFERROR(DATEVALUE(LEFT(SALES!B3:B200,10)),0)&lt;$AK$2)*(SALES!I3:I200)))</f>
        <v/>
      </c>
      <c r="W7" s="54" t="s">
        <v>978</v>
      </c>
      <c r="X7" s="88">
        <f>X5-X6</f>
        <v>95049</v>
      </c>
      <c r="Y7" s="87" t="str">
        <f>IFERROR(INDEX($AD$2:$AD$16,MATCH(LARGE($AG$2:$AG$16,3),$AG$2:$AG$16,0)),"")</f>
        <v>EMP018</v>
      </c>
      <c r="Z7" s="87">
        <f>IF(Y7="","",INDEX($AE$2:$AE$16,MATCH(LARGE($AG$2:$AG$16,3),$AG$2:$AG$16,0)))</f>
        <v>7</v>
      </c>
      <c r="AA7" s="87">
        <f>IF(Y7="","",INDEX($AF$2:$AF$16,MATCH(LARGE($AG$2:$AG$16,3),$AG$2:$AG$16,0)))</f>
        <v>10</v>
      </c>
      <c r="AB7" s="100">
        <f>IF(Y7="","",LARGE($AG$2:$AG$16,3))</f>
        <v>68591</v>
      </c>
      <c r="AD7" t="str">
        <v>EMP014</v>
      </c>
      <c r="AE7" cm="1">
        <f t="array" ref="AE7">IF(AD7="","",SUMPRODUCT((SALES!K3:K200=AD7)*(IFERROR(DATEVALUE(LEFT(SALES!B3:B200,10)),0)&gt;=$AK$1)*(IFERROR(DATEVALUE(LEFT(SALES!B3:B200,10)),0)&lt;$AK$2)))</f>
        <v>5</v>
      </c>
      <c r="AF7" cm="1">
        <f t="array" ref="AF7">IF(AD7="","",SUMPRODUCT((SALES!K3:K200=AD7)*(IFERROR(DATEVALUE(LEFT(SALES!B3:B200,10)),0)&gt;=$AK$1)*(IFERROR(DATEVALUE(LEFT(SALES!B3:B200,10)),0)&lt;$AK$2)*(SALES!G3:G200)))</f>
        <v>8</v>
      </c>
      <c r="AG7" cm="1">
        <f t="array" ref="AG7">IF(AD7="","",SUMPRODUCT((SALES!K3:K200=AD7)*(IFERROR(DATEVALUE(LEFT(SALES!B3:B200,10)),0)&gt;=$AK$1)*(IFERROR(DATEVALUE(LEFT(SALES!B3:B200,10)),0)&lt;$AK$2)*(SALES!I3:I200)))</f>
        <v>18492</v>
      </c>
      <c r="AI7" s="54" t="s">
        <v>990</v>
      </c>
      <c r="AJ7" s="92">
        <f>COUNTIF(INVENTORY!L:L,"LOW STOCK")</f>
        <v>11</v>
      </c>
    </row>
    <row r="8" spans="1:39" ht="21.95" customHeight="1" x14ac:dyDescent="0.25">
      <c r="A8" s="212" t="s">
        <v>752</v>
      </c>
      <c r="B8" s="213"/>
      <c r="C8" s="213"/>
      <c r="D8" s="214"/>
      <c r="F8" s="204" t="str">
        <f>IF($B$11="Payroll Report","Paid slips",IF($B$11="Inventory Report","SKUs",IF($B$11="Sales Report","Cancelled",IF($B$11="Customer Report","Purchase value","SKUs"))))</f>
        <v>SKUs</v>
      </c>
      <c r="G8" s="205"/>
      <c r="H8" s="206">
        <f>IF($B$11="Payroll Report",COUNTIFS(PAYROLL!B3:B53,$B$12,PAYROLL!L3:L53,"Paid"),IF($B$11="Inventory Report",COUNTA(INVENTORY!A3:A54),IF($B$11="Sales Report",COUNTIF(SALES!L3:L55,"Cancelled"),IF($B$11="Customer Report",SUM(CUSTOMERS!G3:G53),COUNTA(INVENTORY!A3:A54)))))</f>
        <v>52</v>
      </c>
      <c r="I8" s="207"/>
      <c r="K8" s="98" t="s">
        <v>752</v>
      </c>
      <c r="P8" s="236" t="s">
        <v>961</v>
      </c>
      <c r="Q8" s="236"/>
      <c r="R8" s="236"/>
      <c r="S8" s="236"/>
      <c r="T8" s="236"/>
      <c r="U8" s="236"/>
      <c r="W8" s="54" t="s">
        <v>979</v>
      </c>
      <c r="X8" s="101">
        <f>IF(X5=0,"",X7/X5)</f>
        <v>0.20766704755745588</v>
      </c>
      <c r="Y8" s="87" t="str">
        <f>IFERROR(INDEX($AD$2:$AD$16,MATCH(LARGE($AG$2:$AG$16,4),$AG$2:$AG$16,0)),"")</f>
        <v>EMP010</v>
      </c>
      <c r="Z8" s="87">
        <f>IF(Y8="","",INDEX($AE$2:$AE$16,MATCH(LARGE($AG$2:$AG$16,4),$AG$2:$AG$16,0)))</f>
        <v>8</v>
      </c>
      <c r="AA8" s="87">
        <f>IF(Y8="","",INDEX($AF$2:$AF$16,MATCH(LARGE($AG$2:$AG$16,4),$AG$2:$AG$16,0)))</f>
        <v>42</v>
      </c>
      <c r="AB8" s="100">
        <f>IF(Y8="","",LARGE($AG$2:$AG$16,4))</f>
        <v>46648</v>
      </c>
      <c r="AD8" t="str">
        <v>EMP017</v>
      </c>
      <c r="AE8" cm="1">
        <f t="array" ref="AE8">IF(AD8="","",SUMPRODUCT((SALES!K3:K200=AD8)*(IFERROR(DATEVALUE(LEFT(SALES!B3:B200,10)),0)&gt;=$AK$1)*(IFERROR(DATEVALUE(LEFT(SALES!B3:B200,10)),0)&lt;$AK$2)))</f>
        <v>2</v>
      </c>
      <c r="AF8" cm="1">
        <f t="array" ref="AF8">IF(AD8="","",SUMPRODUCT((SALES!K3:K200=AD8)*(IFERROR(DATEVALUE(LEFT(SALES!B3:B200,10)),0)&gt;=$AK$1)*(IFERROR(DATEVALUE(LEFT(SALES!B3:B200,10)),0)&lt;$AK$2)*(SALES!G3:G200)))</f>
        <v>4</v>
      </c>
      <c r="AG8" cm="1">
        <f t="array" ref="AG8">IF(AD8="","",SUMPRODUCT((SALES!K3:K200=AD8)*(IFERROR(DATEVALUE(LEFT(SALES!B3:B200,10)),0)&gt;=$AK$1)*(IFERROR(DATEVALUE(LEFT(SALES!B3:B200,10)),0)&lt;$AK$2)*(SALES!I3:I200)))</f>
        <v>13996</v>
      </c>
      <c r="AI8" s="54" t="s">
        <v>991</v>
      </c>
      <c r="AJ8" s="92">
        <f>COUNTIF(INVENTORY!J3:J80,0)</f>
        <v>0</v>
      </c>
    </row>
    <row r="9" spans="1:39" ht="21.95" customHeight="1" x14ac:dyDescent="0.25">
      <c r="A9" s="215" t="s">
        <v>753</v>
      </c>
      <c r="B9" s="216"/>
      <c r="C9" s="216"/>
      <c r="D9" s="217"/>
      <c r="F9" s="95"/>
      <c r="I9" s="96"/>
      <c r="K9" s="98" t="s">
        <v>753</v>
      </c>
      <c r="P9" s="102" t="s">
        <v>17</v>
      </c>
      <c r="Q9" s="90" t="s">
        <v>18</v>
      </c>
      <c r="R9" s="90" t="s">
        <v>19</v>
      </c>
      <c r="S9" s="90" t="s">
        <v>22</v>
      </c>
      <c r="T9" s="90" cm="1">
        <f t="array" ref="T9">IF(S9="","",SUMPRODUCT((SALES!J3:J200=S9)*(IFERROR(DATEVALUE(LEFT(SALES!B3:B200,10)),0)&gt;=$AK$1)*(IFERROR(DATEVALUE(LEFT(SALES!B3:B200,10)),0)&lt;$AK$2)))</f>
        <v>0</v>
      </c>
      <c r="U9" s="103" cm="1">
        <f t="array" ref="U9">IF(S9="","",SUMPRODUCT((SALES!J3:J200=S9)*(IFERROR(DATEVALUE(LEFT(SALES!B3:B200,10)),0)&gt;=$AK$1)*(IFERROR(DATEVALUE(LEFT(SALES!B3:B200,10)),0)&lt;$AK$2)*(SALES!I3:I200)))</f>
        <v>0</v>
      </c>
      <c r="Y9" s="87" t="str">
        <f>IFERROR(INDEX($AD$2:$AD$16,MATCH(LARGE($AG$2:$AG$16,5),$AG$2:$AG$16,0)),"")</f>
        <v>EMP002</v>
      </c>
      <c r="Z9" s="87">
        <f>IF(Y9="","",INDEX($AE$2:$AE$16,MATCH(LARGE($AG$2:$AG$16,5),$AG$2:$AG$16,0)))</f>
        <v>10</v>
      </c>
      <c r="AA9" s="87">
        <f>IF(Y9="","",INDEX($AF$2:$AF$16,MATCH(LARGE($AG$2:$AG$16,5),$AG$2:$AG$16,0)))</f>
        <v>49</v>
      </c>
      <c r="AB9" s="100">
        <f>IF(Y9="","",LARGE($AG$2:$AG$16,5))</f>
        <v>23482</v>
      </c>
      <c r="AD9" t="str">
        <v>EMP050</v>
      </c>
      <c r="AE9" cm="1">
        <f t="array" ref="AE9">IF(AD9="","",SUMPRODUCT((SALES!K3:K200=AD9)*(IFERROR(DATEVALUE(LEFT(SALES!B3:B200,10)),0)&gt;=$AK$1)*(IFERROR(DATEVALUE(LEFT(SALES!B3:B200,10)),0)&lt;$AK$2)))</f>
        <v>0</v>
      </c>
      <c r="AF9" cm="1">
        <f t="array" ref="AF9">IF(AD9="","",SUMPRODUCT((SALES!K3:K200=AD9)*(IFERROR(DATEVALUE(LEFT(SALES!B3:B200,10)),0)&gt;=$AK$1)*(IFERROR(DATEVALUE(LEFT(SALES!B3:B200,10)),0)&lt;$AK$2)*(SALES!G3:G200)))</f>
        <v>0</v>
      </c>
      <c r="AG9" cm="1">
        <f t="array" ref="AG9">IF(AD9="","",SUMPRODUCT((SALES!K3:K200=AD9)*(IFERROR(DATEVALUE(LEFT(SALES!B3:B200,10)),0)&gt;=$AK$1)*(IFERROR(DATEVALUE(LEFT(SALES!B3:B200,10)),0)&lt;$AK$2)*(SALES!I3:I200)))</f>
        <v>0</v>
      </c>
    </row>
    <row r="10" spans="1:39" ht="21.95" customHeight="1" thickBot="1" x14ac:dyDescent="0.3">
      <c r="A10" s="95"/>
      <c r="D10" s="96"/>
      <c r="F10" s="208" t="s">
        <v>760</v>
      </c>
      <c r="G10" s="209"/>
      <c r="H10" s="209"/>
      <c r="I10" s="210"/>
      <c r="P10" s="93" t="str">
        <f>IF(EMPLOYEES!A3="","",EMPLOYEES!A3)</f>
        <v>EMP001</v>
      </c>
      <c r="Q10" s="87" t="str">
        <f>IF(P10="","",EMPLOYEES!B3)</f>
        <v>Rahul Sharma</v>
      </c>
      <c r="R10" s="87" t="str">
        <f>IF(P10="","",EMPLOYEES!C3)</f>
        <v>Accounts</v>
      </c>
      <c r="S10" s="88">
        <f>IF(P10="","",EMPLOYEES!F3)</f>
        <v>30000</v>
      </c>
      <c r="T10" s="88" cm="1">
        <f t="array" ref="T10">IF(S10="","",SUMPRODUCT((SALES!J3:J200=S10)*(IFERROR(DATEVALUE(LEFT(SALES!B3:B200,10)),0)&gt;=$AK$1)*(IFERROR(DATEVALUE(LEFT(SALES!B3:B200,10)),0)&lt;$AK$2)))</f>
        <v>0</v>
      </c>
      <c r="U10" s="104" cm="1">
        <f t="array" ref="U10">IF(S10="","",SUMPRODUCT((SALES!J3:J200=S10)*(IFERROR(DATEVALUE(LEFT(SALES!B3:B200,10)),0)&gt;=$AK$1)*(IFERROR(DATEVALUE(LEFT(SALES!B3:B200,10)),0)&lt;$AK$2)*(SALES!I3:I200)))</f>
        <v>0</v>
      </c>
      <c r="Y10" s="87" t="str">
        <f>IFERROR(INDEX($AD$2:$AD$16,MATCH(LARGE($AG$2:$AG$16,6),$AG$2:$AG$16,0)),"")</f>
        <v>EMP014</v>
      </c>
      <c r="Z10" s="87">
        <f>IF(Y10="","",INDEX($AE$2:$AE$16,MATCH(LARGE($AG$2:$AG$16,6),$AG$2:$AG$16,0)))</f>
        <v>5</v>
      </c>
      <c r="AA10" s="87">
        <f>IF(Y10="","",INDEX($AF$2:$AF$16,MATCH(LARGE($AG$2:$AG$16,6),$AG$2:$AG$16,0)))</f>
        <v>8</v>
      </c>
      <c r="AB10" s="100">
        <f>IF(Y10="","",LARGE($AG$2:$AG$16,6))</f>
        <v>18492</v>
      </c>
      <c r="AD10" t="str">
        <v>EMP015</v>
      </c>
      <c r="AE10" cm="1">
        <f t="array" ref="AE10">IF(AD10="","",SUMPRODUCT((SALES!K3:K200=AD10)*(IFERROR(DATEVALUE(LEFT(SALES!B3:B200,10)),0)&gt;=$AK$1)*(IFERROR(DATEVALUE(LEFT(SALES!B3:B200,10)),0)&lt;$AK$2)))</f>
        <v>0</v>
      </c>
      <c r="AF10" cm="1">
        <f t="array" ref="AF10">IF(AD10="","",SUMPRODUCT((SALES!K3:K200=AD10)*(IFERROR(DATEVALUE(LEFT(SALES!B3:B200,10)),0)&gt;=$AK$1)*(IFERROR(DATEVALUE(LEFT(SALES!B3:B200,10)),0)&lt;$AK$2)*(SALES!G3:G200)))</f>
        <v>0</v>
      </c>
      <c r="AG10" cm="1">
        <f t="array" ref="AG10">IF(AD10="","",SUMPRODUCT((SALES!K3:K200=AD10)*(IFERROR(DATEVALUE(LEFT(SALES!B3:B200,10)),0)&gt;=$AK$1)*(IFERROR(DATEVALUE(LEFT(SALES!B3:B200,10)),0)&lt;$AK$2)*(SALES!I3:I200)))</f>
        <v>0</v>
      </c>
    </row>
    <row r="11" spans="1:39" ht="21.95" customHeight="1" x14ac:dyDescent="0.25">
      <c r="A11" s="105" t="s">
        <v>754</v>
      </c>
      <c r="B11" s="218" t="s">
        <v>753</v>
      </c>
      <c r="C11" s="196"/>
      <c r="D11" s="219"/>
      <c r="K11" s="106">
        <f>IFERROR(MATCH(LEFT($B$12,3),{"Jan","Feb","Mar","Apr","May","Jun","Jul","Aug","Sep","Oct","Nov","Dec"},0),9)</f>
        <v>9</v>
      </c>
      <c r="P11" s="93" t="str">
        <f>IF(EMPLOYEES!A4="","",EMPLOYEES!A4)</f>
        <v>EMP002</v>
      </c>
      <c r="Q11" s="87" t="str">
        <f>IF(P11="","",EMPLOYEES!B4)</f>
        <v>Aman Verma</v>
      </c>
      <c r="R11" s="87" t="str">
        <f>IF(P11="","",EMPLOYEES!C4)</f>
        <v>Sales</v>
      </c>
      <c r="S11" s="100">
        <f>IF(P11="","",EMPLOYEES!F4)</f>
        <v>25000</v>
      </c>
      <c r="T11" s="100" cm="1">
        <f t="array" ref="T11">IF(S11="","",SUMPRODUCT((SALES!J3:J200=S11)*(IFERROR(DATEVALUE(LEFT(SALES!B3:B200,10)),0)&gt;=$AK$1)*(IFERROR(DATEVALUE(LEFT(SALES!B3:B200,10)),0)&lt;$AK$2)))</f>
        <v>0</v>
      </c>
      <c r="U11" s="104" cm="1">
        <f t="array" ref="U11">IF(S11="","",SUMPRODUCT((SALES!J3:J200=S11)*(IFERROR(DATEVALUE(LEFT(SALES!B3:B200,10)),0)&gt;=$AK$1)*(IFERROR(DATEVALUE(LEFT(SALES!B3:B200,10)),0)&lt;$AK$2)*(SALES!I3:I200)))</f>
        <v>0</v>
      </c>
      <c r="Y11" s="87" t="str">
        <f>IFERROR(INDEX($AD$2:$AD$16,MATCH(LARGE($AG$2:$AG$16,7),$AG$2:$AG$16,0)),"")</f>
        <v>EMP017</v>
      </c>
      <c r="Z11" s="87">
        <f>IF(Y11="","",INDEX($AE$2:$AE$16,MATCH(LARGE($AG$2:$AG$16,7),$AG$2:$AG$16,0)))</f>
        <v>2</v>
      </c>
      <c r="AA11" s="87">
        <f>IF(Y11="","",INDEX($AF$2:$AF$16,MATCH(LARGE($AG$2:$AG$16,7),$AG$2:$AG$16,0)))</f>
        <v>4</v>
      </c>
      <c r="AB11" s="100">
        <f>IF(Y11="","",LARGE($AG$2:$AG$16,7))</f>
        <v>13996</v>
      </c>
      <c r="AE11" t="str" cm="1">
        <f t="array" ref="AE11">IF(AD11="","",SUMPRODUCT((SALES!K3:K200=AD11)*(IFERROR(DATEVALUE(LEFT(SALES!B3:B200,10)),0)&gt;=$AK$1)*(IFERROR(DATEVALUE(LEFT(SALES!B3:B200,10)),0)&lt;$AK$2)))</f>
        <v/>
      </c>
      <c r="AF11" t="str" cm="1">
        <f t="array" ref="AF11">IF(AD11="","",SUMPRODUCT((SALES!K3:K200=AD11)*(IFERROR(DATEVALUE(LEFT(SALES!B3:B200,10)),0)&gt;=$AK$1)*(IFERROR(DATEVALUE(LEFT(SALES!B3:B200,10)),0)&lt;$AK$2)*(SALES!G3:G200)))</f>
        <v/>
      </c>
      <c r="AG11" t="str" cm="1">
        <f t="array" ref="AG11">IF(AD11="","",SUMPRODUCT((SALES!K3:K200=AD11)*(IFERROR(DATEVALUE(LEFT(SALES!B3:B200,10)),0)&gt;=$AK$1)*(IFERROR(DATEVALUE(LEFT(SALES!B3:B200,10)),0)&lt;$AK$2)*(SALES!I3:I200)))</f>
        <v/>
      </c>
    </row>
    <row r="12" spans="1:39" ht="21.95" customHeight="1" x14ac:dyDescent="0.25">
      <c r="A12" s="105" t="s">
        <v>755</v>
      </c>
      <c r="B12" s="196" t="str">
        <f>SETTINGS!C15</f>
        <v>Sep-2026</v>
      </c>
      <c r="C12" s="197"/>
      <c r="D12" s="198"/>
      <c r="F12" s="211" t="s">
        <v>957</v>
      </c>
      <c r="G12" s="211"/>
      <c r="H12" s="211"/>
      <c r="K12" s="106">
        <f>IFERROR(VALUE(RIGHT($B$12,4)),2026)</f>
        <v>2026</v>
      </c>
      <c r="P12" s="93" t="str">
        <f>IF(EMPLOYEES!A5="","",EMPLOYEES!A5)</f>
        <v>EMP003</v>
      </c>
      <c r="Q12" s="87" t="str">
        <f>IF(P12="","",EMPLOYEES!B5)</f>
        <v>Priya Singh</v>
      </c>
      <c r="R12" s="87" t="str">
        <f>IF(P12="","",EMPLOYEES!C5)</f>
        <v>HR</v>
      </c>
      <c r="S12" s="100">
        <f>IF(P12="","",EMPLOYEES!F5)</f>
        <v>28000</v>
      </c>
      <c r="T12" s="100" cm="1">
        <f t="array" ref="T12">IF(S12="","",SUMPRODUCT((SALES!J3:J200=S12)*(IFERROR(DATEVALUE(LEFT(SALES!B3:B200,10)),0)&gt;=$AK$1)*(IFERROR(DATEVALUE(LEFT(SALES!B3:B200,10)),0)&lt;$AK$2)))</f>
        <v>0</v>
      </c>
      <c r="U12" s="104" cm="1">
        <f t="array" ref="U12">IF(S12="","",SUMPRODUCT((SALES!J3:J200=S12)*(IFERROR(DATEVALUE(LEFT(SALES!B3:B200,10)),0)&gt;=$AK$1)*(IFERROR(DATEVALUE(LEFT(SALES!B3:B200,10)),0)&lt;$AK$2)*(SALES!I3:I200)))</f>
        <v>0</v>
      </c>
      <c r="Y12" s="87" t="str">
        <f>IFERROR(INDEX($AD$2:$AD$16,MATCH(LARGE($AG$2:$AG$16,8),$AG$2:$AG$16,0)),"")</f>
        <v>EMP050</v>
      </c>
      <c r="Z12" s="87">
        <f>IF(Y12="","",INDEX($AE$2:$AE$16,MATCH(LARGE($AG$2:$AG$16,8),$AG$2:$AG$16,0)))</f>
        <v>0</v>
      </c>
      <c r="AA12" s="87">
        <f>IF(Y12="","",INDEX($AF$2:$AF$16,MATCH(LARGE($AG$2:$AG$16,8),$AG$2:$AG$16,0)))</f>
        <v>0</v>
      </c>
      <c r="AB12" s="100">
        <f>IF(Y12="","",LARGE($AG$2:$AG$16,8))</f>
        <v>0</v>
      </c>
      <c r="AE12" t="str" cm="1">
        <f t="array" ref="AE12">IF(AD12="","",SUMPRODUCT((SALES!K3:K200=AD12)*(IFERROR(DATEVALUE(LEFT(SALES!B3:B200,10)),0)&gt;=$AK$1)*(IFERROR(DATEVALUE(LEFT(SALES!B3:B200,10)),0)&lt;$AK$2)))</f>
        <v/>
      </c>
      <c r="AF12" t="str" cm="1">
        <f t="array" ref="AF12">IF(AD12="","",SUMPRODUCT((SALES!K3:K200=AD12)*(IFERROR(DATEVALUE(LEFT(SALES!B3:B200,10)),0)&gt;=$AK$1)*(IFERROR(DATEVALUE(LEFT(SALES!B3:B200,10)),0)&lt;$AK$2)*(SALES!G3:G200)))</f>
        <v/>
      </c>
      <c r="AG12" t="str" cm="1">
        <f t="array" ref="AG12">IF(AD12="","",SUMPRODUCT((SALES!K3:K200=AD12)*(IFERROR(DATEVALUE(LEFT(SALES!B3:B200,10)),0)&gt;=$AK$1)*(IFERROR(DATEVALUE(LEFT(SALES!B3:B200,10)),0)&lt;$AK$2)*(SALES!I3:I200)))</f>
        <v/>
      </c>
    </row>
    <row r="13" spans="1:39" ht="21.95" customHeight="1" thickBot="1" x14ac:dyDescent="0.3">
      <c r="A13" s="95"/>
      <c r="D13" s="96"/>
      <c r="F13" s="90" t="s">
        <v>608</v>
      </c>
      <c r="G13" s="90" t="s">
        <v>958</v>
      </c>
      <c r="H13" s="90" t="s">
        <v>607</v>
      </c>
      <c r="P13" s="93" t="str">
        <f>IF(EMPLOYEES!A6="","",EMPLOYEES!A6)</f>
        <v>EMP004</v>
      </c>
      <c r="Q13" s="87" t="str">
        <f>IF(P13="","",EMPLOYEES!B6)</f>
        <v>Vikram Patel</v>
      </c>
      <c r="R13" s="87" t="str">
        <f>IF(P13="","",EMPLOYEES!C6)</f>
        <v>Inventory</v>
      </c>
      <c r="S13" s="100">
        <f>IF(P13="","",EMPLOYEES!F6)</f>
        <v>35000</v>
      </c>
      <c r="T13" s="100">
        <f>IF(P13="","",IFERROR(_xlfn.XLOOKUP(P13,PAYROLL!C:C,PAYROLL!K:K,"",0,-1),""))</f>
        <v>37600</v>
      </c>
      <c r="U13" s="93" t="str">
        <f>IF(P13="","",IFERROR(_xlfn.XLOOKUP(P13,PAYROLL!C:C,PAYROLL!L:L,"",0,-1),""))</f>
        <v>Paid</v>
      </c>
      <c r="AE13" t="str" cm="1">
        <f t="array" ref="AE13">IF(AD13="","",SUMPRODUCT((SALES!K3:K200=AD13)*(IFERROR(DATEVALUE(LEFT(SALES!B3:B200,10)),0)&gt;=$AK$1)*(IFERROR(DATEVALUE(LEFT(SALES!B3:B200,10)),0)&lt;$AK$2)))</f>
        <v/>
      </c>
      <c r="AF13" t="str" cm="1">
        <f t="array" ref="AF13">IF(AD13="","",SUMPRODUCT((SALES!K3:K200=AD13)*(IFERROR(DATEVALUE(LEFT(SALES!B3:B200,10)),0)&gt;=$AK$1)*(IFERROR(DATEVALUE(LEFT(SALES!B3:B200,10)),0)&lt;$AK$2)*(SALES!G3:G200)))</f>
        <v/>
      </c>
      <c r="AG13" t="str" cm="1">
        <f t="array" ref="AG13">IF(AD13="","",SUMPRODUCT((SALES!K3:K200=AD13)*(IFERROR(DATEVALUE(LEFT(SALES!B3:B200,10)),0)&gt;=$AK$1)*(IFERROR(DATEVALUE(LEFT(SALES!B3:B200,10)),0)&lt;$AK$2)*(SALES!I3:I200)))</f>
        <v/>
      </c>
    </row>
    <row r="14" spans="1:39" ht="21.95" customHeight="1" thickBot="1" x14ac:dyDescent="0.3">
      <c r="A14" s="133" t="s">
        <v>756</v>
      </c>
      <c r="B14" s="199"/>
      <c r="C14" s="140" t="s">
        <v>757</v>
      </c>
      <c r="D14" s="141"/>
      <c r="F14" s="87" t="str">
        <f>IFERROR(INDEX($S$2:$S$12,MATCH(LARGE($U$2:$U$12,1),$U$2:$U$12,0)),"")</f>
        <v>UPI</v>
      </c>
      <c r="G14" s="92">
        <f>IF(F14="","",INDEX($T$2:$T$12,MATCH(LARGE($U$2:$U$12,1),$U$2:$U$12,0)))</f>
        <v>21</v>
      </c>
      <c r="H14" s="88">
        <f>IF(F14="","",LARGE($U$2:$U$12,1))</f>
        <v>173746</v>
      </c>
      <c r="P14" s="93" t="str">
        <f>IF(EMPLOYEES!A7="","",EMPLOYEES!A7)</f>
        <v>EMP005</v>
      </c>
      <c r="Q14" s="87" t="str">
        <f>IF(P14="","",EMPLOYEES!B7)</f>
        <v>Neha Gupta</v>
      </c>
      <c r="R14" s="87" t="str">
        <f>IF(P14="","",EMPLOYEES!C7)</f>
        <v>Accounts</v>
      </c>
      <c r="S14" s="100">
        <f>IF(P14="","",EMPLOYEES!F7)</f>
        <v>22000</v>
      </c>
      <c r="T14" s="100">
        <f>IF(P14="","",IFERROR(_xlfn.XLOOKUP(P14,PAYROLL!C:C,PAYROLL!K:K,"",0,-1),""))</f>
        <v>23080</v>
      </c>
      <c r="U14" s="93" t="str">
        <f>IF(P14="","",IFERROR(_xlfn.XLOOKUP(P14,PAYROLL!C:C,PAYROLL!L:L,"",0,-1),""))</f>
        <v>Paid</v>
      </c>
      <c r="AE14" t="str" cm="1">
        <f t="array" ref="AE14">IF(AD14="","",SUMPRODUCT((SALES!K3:K200=AD14)*(IFERROR(DATEVALUE(LEFT(SALES!B3:B200,10)),0)&gt;=$AK$1)*(IFERROR(DATEVALUE(LEFT(SALES!B3:B200,10)),0)&lt;$AK$2)))</f>
        <v/>
      </c>
      <c r="AF14" t="str" cm="1">
        <f t="array" ref="AF14">IF(AD14="","",SUMPRODUCT((SALES!K3:K200=AD14)*(IFERROR(DATEVALUE(LEFT(SALES!B3:B200,10)),0)&gt;=$AK$1)*(IFERROR(DATEVALUE(LEFT(SALES!B3:B200,10)),0)&lt;$AK$2)*(SALES!G3:G200)))</f>
        <v/>
      </c>
      <c r="AG14" t="str" cm="1">
        <f t="array" ref="AG14">IF(AD14="","",SUMPRODUCT((SALES!K3:K200=AD14)*(IFERROR(DATEVALUE(LEFT(SALES!B3:B200,10)),0)&gt;=$AK$1)*(IFERROR(DATEVALUE(LEFT(SALES!B3:B200,10)),0)&lt;$AK$2)*(SALES!I3:I200)))</f>
        <v/>
      </c>
    </row>
    <row r="15" spans="1:39" ht="21.95" customHeight="1" x14ac:dyDescent="0.25">
      <c r="A15" s="95"/>
      <c r="D15" s="96"/>
      <c r="F15" s="87" t="str">
        <f>IFERROR(INDEX($S$2:$S$12,MATCH(LARGE($U$2:$U$12,2),$U$2:$U$12,0)),"")</f>
        <v>Bank Transfer</v>
      </c>
      <c r="G15" s="92">
        <f>IF(F15="","",INDEX($T$2:$T$12,MATCH(LARGE($U$2:$U$12,2),$U$2:$U$12,0)))</f>
        <v>6</v>
      </c>
      <c r="H15" s="88">
        <f>IF(F15="","",LARGE($U$2:$U$12,2))</f>
        <v>145494</v>
      </c>
      <c r="P15" s="93" t="str">
        <f>IF(EMPLOYEES!A8="","",EMPLOYEES!A8)</f>
        <v>EMP006</v>
      </c>
      <c r="Q15" s="87" t="str">
        <f>IF(P15="","",EMPLOYEES!B8)</f>
        <v>Rohit Mehta</v>
      </c>
      <c r="R15" s="87" t="str">
        <f>IF(P15="","",EMPLOYEES!C8)</f>
        <v>Sales</v>
      </c>
      <c r="S15" s="100">
        <f>IF(P15="","",EMPLOYEES!F8)</f>
        <v>40000</v>
      </c>
      <c r="T15" s="100">
        <f>IF(P15="","",IFERROR(_xlfn.XLOOKUP(P15,PAYROLL!C:C,PAYROLL!K:K,"",0,-1),""))</f>
        <v>42950</v>
      </c>
      <c r="U15" s="93" t="str">
        <f>IF(P15="","",IFERROR(_xlfn.XLOOKUP(P15,PAYROLL!C:C,PAYROLL!L:L,"",0,-1),""))</f>
        <v>Paid</v>
      </c>
      <c r="AE15" t="str" cm="1">
        <f t="array" ref="AE15">IF(AD15="","",SUMPRODUCT((SALES!K3:K200=AD15)*(IFERROR(DATEVALUE(LEFT(SALES!B3:B200,10)),0)&gt;=$AK$1)*(IFERROR(DATEVALUE(LEFT(SALES!B3:B200,10)),0)&lt;$AK$2)))</f>
        <v/>
      </c>
      <c r="AF15" t="str" cm="1">
        <f t="array" ref="AF15">IF(AD15="","",SUMPRODUCT((SALES!K3:K200=AD15)*(IFERROR(DATEVALUE(LEFT(SALES!B3:B200,10)),0)&gt;=$AK$1)*(IFERROR(DATEVALUE(LEFT(SALES!B3:B200,10)),0)&lt;$AK$2)*(SALES!G3:G200)))</f>
        <v/>
      </c>
      <c r="AG15" t="str" cm="1">
        <f t="array" ref="AG15">IF(AD15="","",SUMPRODUCT((SALES!K3:K200=AD15)*(IFERROR(DATEVALUE(LEFT(SALES!B3:B200,10)),0)&gt;=$AK$1)*(IFERROR(DATEVALUE(LEFT(SALES!B3:B200,10)),0)&lt;$AK$2)*(SALES!I3:I200)))</f>
        <v/>
      </c>
    </row>
    <row r="16" spans="1:39" ht="21.95" customHeight="1" x14ac:dyDescent="0.25">
      <c r="A16" s="224" t="s">
        <v>765</v>
      </c>
      <c r="B16" s="225"/>
      <c r="C16" s="225"/>
      <c r="D16" s="226"/>
      <c r="F16" s="87" t="str">
        <f>IFERROR(INDEX($S$2:$S$12,MATCH(LARGE($U$2:$U$12,3),$U$2:$U$12,0)),"")</f>
        <v>Card</v>
      </c>
      <c r="G16" s="92">
        <f>IF(F16="","",INDEX($T$2:$T$12,MATCH(LARGE($U$2:$U$12,3),$U$2:$U$12,0)))</f>
        <v>8</v>
      </c>
      <c r="H16" s="88">
        <f>IF(F16="","",LARGE($U$2:$U$12,3))</f>
        <v>105195</v>
      </c>
      <c r="P16" s="93" t="str">
        <f>IF(EMPLOYEES!A9="","",EMPLOYEES!A9)</f>
        <v>EMP007</v>
      </c>
      <c r="Q16" s="87" t="str">
        <f>IF(P16="","",EMPLOYEES!B9)</f>
        <v>Anjali Nair</v>
      </c>
      <c r="R16" s="87" t="str">
        <f>IF(P16="","",EMPLOYEES!C9)</f>
        <v>Payroll</v>
      </c>
      <c r="S16" s="100">
        <f>IF(P16="","",EMPLOYEES!F9)</f>
        <v>32000</v>
      </c>
      <c r="T16" s="100">
        <f>IF(P16="","",IFERROR(_xlfn.XLOOKUP(P16,PAYROLL!C:C,PAYROLL!K:K,"",0,-1),""))</f>
        <v>33680</v>
      </c>
      <c r="U16" s="93" t="str">
        <f>IF(P16="","",IFERROR(_xlfn.XLOOKUP(P16,PAYROLL!C:C,PAYROLL!L:L,"",0,-1),""))</f>
        <v>Paid</v>
      </c>
      <c r="AE16" t="str" cm="1">
        <f t="array" ref="AE16">IF(AD16="","",SUMPRODUCT((SALES!K3:K200=AD16)*(IFERROR(DATEVALUE(LEFT(SALES!B3:B200,10)),0)&gt;=$AK$1)*(IFERROR(DATEVALUE(LEFT(SALES!B3:B200,10)),0)&lt;$AK$2)))</f>
        <v/>
      </c>
      <c r="AF16" t="str" cm="1">
        <f t="array" ref="AF16">IF(AD16="","",SUMPRODUCT((SALES!K3:K200=AD16)*(IFERROR(DATEVALUE(LEFT(SALES!B3:B200,10)),0)&gt;=$AK$1)*(IFERROR(DATEVALUE(LEFT(SALES!B3:B200,10)),0)&lt;$AK$2)*(SALES!G3:G200)))</f>
        <v/>
      </c>
      <c r="AG16" t="str" cm="1">
        <f t="array" ref="AG16">IF(AD16="","",SUMPRODUCT((SALES!K3:K200=AD16)*(IFERROR(DATEVALUE(LEFT(SALES!B3:B200,10)),0)&gt;=$AK$1)*(IFERROR(DATEVALUE(LEFT(SALES!B3:B200,10)),0)&lt;$AK$2)*(SALES!I3:I200)))</f>
        <v/>
      </c>
    </row>
    <row r="17" spans="1:21" ht="21.95" customHeight="1" thickBot="1" x14ac:dyDescent="0.3">
      <c r="A17" s="227"/>
      <c r="B17" s="228"/>
      <c r="C17" s="228"/>
      <c r="D17" s="229"/>
      <c r="F17" s="87" t="str">
        <f>IFERROR(INDEX($S$2:$S$12,MATCH(LARGE($U$2:$U$12,4),$U$2:$U$12,0)),"")</f>
        <v>Cash</v>
      </c>
      <c r="G17" s="92">
        <f>IF(F17="","",INDEX($T$2:$T$12,MATCH(LARGE($U$2:$U$12,4),$U$2:$U$12,0)))</f>
        <v>15</v>
      </c>
      <c r="H17" s="88">
        <f>IF(F17="","",LARGE($U$2:$U$12,4))</f>
        <v>33264</v>
      </c>
      <c r="P17" s="93" t="str">
        <f>IF(EMPLOYEES!A10="","",EMPLOYEES!A10)</f>
        <v>EMP008</v>
      </c>
      <c r="Q17" s="87" t="str">
        <f>IF(P17="","",EMPLOYEES!B10)</f>
        <v>Suresh Reddy</v>
      </c>
      <c r="R17" s="87" t="str">
        <f>IF(P17="","",EMPLOYEES!C10)</f>
        <v>Inventory</v>
      </c>
      <c r="S17" s="100">
        <f>IF(P17="","",EMPLOYEES!F10)</f>
        <v>24000</v>
      </c>
      <c r="T17" s="100">
        <f>IF(P17="","",IFERROR(_xlfn.XLOOKUP(P17,PAYROLL!C:C,PAYROLL!K:K,"",0,-1),""))</f>
        <v>24520</v>
      </c>
      <c r="U17" s="93" t="str">
        <f>IF(P17="","",IFERROR(_xlfn.XLOOKUP(P17,PAYROLL!C:C,PAYROLL!L:L,"",0,-1),""))</f>
        <v>Unpaid</v>
      </c>
    </row>
    <row r="18" spans="1:21" ht="21.95" customHeight="1" x14ac:dyDescent="0.25">
      <c r="F18" s="87" t="str">
        <f>IFERROR(INDEX($S$2:$S$12,MATCH(LARGE($U$2:$U$12,5),$U$2:$U$12,0)),"")</f>
        <v>Basic Salary</v>
      </c>
      <c r="G18" s="92">
        <f>IF(F18="","",INDEX($T$2:$T$12,MATCH(LARGE($U$2:$U$12,5),$U$2:$U$12,0)))</f>
        <v>0</v>
      </c>
      <c r="H18" s="88">
        <f>IF(F18="","",LARGE($U$2:$U$12,5))</f>
        <v>0</v>
      </c>
      <c r="P18" s="93" t="str">
        <f>IF(EMPLOYEES!A11="","",EMPLOYEES!A11)</f>
        <v>EMP009</v>
      </c>
      <c r="Q18" s="87" t="str">
        <f>IF(P18="","",EMPLOYEES!B11)</f>
        <v>Kavita Joshi</v>
      </c>
      <c r="R18" s="87" t="str">
        <f>IF(P18="","",EMPLOYEES!C11)</f>
        <v>Accounts</v>
      </c>
      <c r="S18" s="100">
        <f>IF(P18="","",EMPLOYEES!F11)</f>
        <v>38000</v>
      </c>
      <c r="T18" s="100">
        <f>IF(P18="","",IFERROR(_xlfn.XLOOKUP(P18,PAYROLL!C:C,PAYROLL!K:K,"",0,-1),""))</f>
        <v>40300</v>
      </c>
      <c r="U18" s="93" t="str">
        <f>IF(P18="","",IFERROR(_xlfn.XLOOKUP(P18,PAYROLL!C:C,PAYROLL!L:L,"",0,-1),""))</f>
        <v>Paid</v>
      </c>
    </row>
    <row r="19" spans="1:21" ht="21.95" customHeight="1" x14ac:dyDescent="0.3">
      <c r="A19" s="220" t="str">
        <f>IF($B$11="","Please select a report.",$B$11&amp;IF(OR($B$11="Payroll Report",$B$11="Sales Report",$B$11="Monthly Business Report")," — "&amp;$B$12,""))</f>
        <v>Monthly Business Report — Sep-2026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P19" s="93" t="str">
        <f>IF(EMPLOYEES!A12="","",EMPLOYEES!A12)</f>
        <v>EMP010</v>
      </c>
      <c r="Q19" s="87" t="str">
        <f>IF(P19="","",EMPLOYEES!B12)</f>
        <v>Deepak Kumar</v>
      </c>
      <c r="R19" s="87" t="str">
        <f>IF(P19="","",EMPLOYEES!C12)</f>
        <v>Sales</v>
      </c>
      <c r="S19" s="100">
        <f>IF(P19="","",EMPLOYEES!F12)</f>
        <v>25000</v>
      </c>
      <c r="T19" s="100">
        <f>IF(P19="","",IFERROR(_xlfn.XLOOKUP(P19,PAYROLL!C:C,PAYROLL!K:K,"",0,-1),""))</f>
        <v>26350</v>
      </c>
      <c r="U19" s="93" t="str">
        <f>IF(P19="","",IFERROR(_xlfn.XLOOKUP(P19,PAYROLL!C:C,PAYROLL!L:L,"",0,-1),""))</f>
        <v>Paid</v>
      </c>
    </row>
    <row r="20" spans="1:21" ht="21.95" customHeight="1" x14ac:dyDescent="0.25">
      <c r="A20" s="89" t="str">
        <f>IF($B$11="Employee Report","Employee ID",IF($B$11="Payroll Report","Payroll ID",IF($B$11="Inventory Report","Product ID",IF($B$11="Sales Report","Sale ID",IF($B$11="Customer Report","Customer ID",IF($B$11="Monthly Business Report","Metric",""))))))</f>
        <v>Metric</v>
      </c>
      <c r="B20" s="89" t="str">
        <f>IF($B$11="Employee Report","Employee Name",IF($B$11="Payroll Report","Month",IF($B$11="Inventory Report","Product Name",IF($B$11="Sales Report","Sale Date",IF($B$11="Customer Report","Customer Name",IF($B$11="Monthly Business Report","Value",""))))))</f>
        <v>Value</v>
      </c>
      <c r="C20" s="89" t="str">
        <f>IF($B$11="Employee Report","Department",IF($B$11="Payroll Report","Employee ID",IF($B$11="Inventory Report","Category",IF($B$11="Sales Report","Customer ID",IF($B$11="Customer Report","Phone","")))))</f>
        <v/>
      </c>
      <c r="D20" s="89" t="str">
        <f>IF($B$11="Employee Report","Designation",IF($B$11="Payroll Report","Employee Name",IF($B$11="Inventory Report","Supplier",IF($B$11="Sales Report","Customer Name",IF($B$11="Customer Report","Email","")))))</f>
        <v/>
      </c>
      <c r="E20" s="89" t="str">
        <f>IF($B$11="Employee Report","Joining Date",IF($B$11="Payroll Report","Basic Salary",IF($B$11="Inventory Report","Purchase Price",IF($B$11="Sales Report","Product ID",IF($B$11="Customer Report","Address","")))))</f>
        <v/>
      </c>
      <c r="F20" s="89" t="str">
        <f>IF($B$11="Employee Report","Basic Salary",IF($B$11="Payroll Report","Working Days",IF($B$11="Inventory Report","Selling Price",IF($B$11="Sales Report","Product Name",IF($B$11="Customer Report","Registration Date","")))))</f>
        <v/>
      </c>
      <c r="G20" s="89" t="str">
        <f>IF($B$11="Employee Report","Phone",IF($B$11="Payroll Report","Present Days",IF($B$11="Inventory Report","Opening Stock",IF($B$11="Sales Report","Quantity",IF($B$11="Customer Report","Total Purchases","")))))</f>
        <v/>
      </c>
      <c r="H20" s="89" t="str">
        <f>IF($B$11="Employee Report","Email",IF($B$11="Payroll Report","Overtime",IF($B$11="Inventory Report","Stock In",IF($B$11="Sales Report","Unit Price",IF($B$11="Customer Report","Last Purchase","")))))</f>
        <v/>
      </c>
      <c r="I20" s="89" t="str">
        <f>IF($B$11="Employee Report","Status",IF($B$11="Payroll Report","Allowances",IF($B$11="Inventory Report","Stock Out",IF($B$11="Sales Report","Total Amount",IF($B$11="Customer Report","Status","")))))</f>
        <v/>
      </c>
      <c r="J20" s="89" t="str">
        <f>IF($B$11="Payroll Report","Deductions",IF($B$11="Inventory Report","Current Stock",IF($B$11="Sales Report","Payment Method","")))</f>
        <v/>
      </c>
      <c r="K20" s="89" t="str">
        <f>IF($B$11="Payroll Report","Net Salary",IF($B$11="Inventory Report","Reorder Level",IF($B$11="Sales Report","Salesperson","")))</f>
        <v/>
      </c>
      <c r="L20" s="89" t="str">
        <f>IF($B$11="Payroll Report","Payment Status",IF($B$11="Inventory Report","Stock Status",IF($B$11="Sales Report","Status","")))</f>
        <v/>
      </c>
      <c r="N20" s="107" t="s">
        <v>761</v>
      </c>
      <c r="O20" s="107" t="s">
        <v>762</v>
      </c>
      <c r="P20" s="93" t="str">
        <f>IF(EMPLOYEES!A13="","",EMPLOYEES!A13)</f>
        <v>EMP011</v>
      </c>
      <c r="Q20" s="87" t="str">
        <f>IF(P20="","",EMPLOYEES!B13)</f>
        <v>Meera Iyer</v>
      </c>
      <c r="R20" s="87" t="str">
        <f>IF(P20="","",EMPLOYEES!C13)</f>
        <v>HR</v>
      </c>
      <c r="S20" s="100">
        <f>IF(P20="","",EMPLOYEES!F13)</f>
        <v>27000</v>
      </c>
      <c r="T20" s="100">
        <f>IF(P20="","",IFERROR(_xlfn.XLOOKUP(P20,PAYROLL!C:C,PAYROLL!K:K,"",0,-1),""))</f>
        <v>28650</v>
      </c>
      <c r="U20" s="93" t="str">
        <f>IF(P20="","",IFERROR(_xlfn.XLOOKUP(P20,PAYROLL!C:C,PAYROLL!L:L,"",0,-1),""))</f>
        <v>Paid</v>
      </c>
    </row>
    <row r="21" spans="1:21" ht="21.95" customHeight="1" x14ac:dyDescent="0.25">
      <c r="A21" s="108" t="str" cm="1">
        <f t="array" ref="A21:B31">IF($B$11="","Please select a report.",IF($B$11="Monthly Business Report",N21:O31,IF($B$11="Employee Report",_xlfn._xlws.FILTER(EMPLOYEES!A3:I52,EMPLOYEES!A3:A52&lt;&gt;"","No data available"),IF($B$11="Payroll Report",_xlfn._xlws.FILTER(PAYROLL!A3:L53,PAYROLL!B3:B53=$B$12,"No data available"),IF($B$11="Inventory Report",_xlfn._xlws.FILTER(INVENTORY!A3:L54,INVENTORY!A3:A54&lt;&gt;"","No data available"),IF($B$11="Sales Report",IF($B$12="Sep-2026",_xlfn._xlws.FILTER(SALES!A3:L55,SALES!A3:A55&lt;&gt;"","No data available"),"No data available"),IF($B$11="Customer Report",_xlfn._xlws.FILTER(CUSTOMERS!A3:I53,CUSTOMERS!A3:A53&lt;&gt;"","No data available"),"Please select a report.")))))))</f>
        <v>Completed sales</v>
      </c>
      <c r="B21" s="109">
        <v>48</v>
      </c>
      <c r="N21" s="107" t="s">
        <v>763</v>
      </c>
      <c r="O21">
        <f>COUNTIF(SALES!L:L,"Completed")</f>
        <v>48</v>
      </c>
      <c r="P21" s="93" t="str">
        <f>IF(EMPLOYEES!A14="","",EMPLOYEES!A14)</f>
        <v>EMP012</v>
      </c>
      <c r="Q21" s="87" t="str">
        <f>IF(P21="","",EMPLOYEES!B14)</f>
        <v>Arjun Malhotra</v>
      </c>
      <c r="R21" s="87" t="str">
        <f>IF(P21="","",EMPLOYEES!C14)</f>
        <v>Inventory</v>
      </c>
      <c r="S21" s="100">
        <f>IF(P21="","",EMPLOYEES!F14)</f>
        <v>26000</v>
      </c>
      <c r="T21" s="100">
        <f>IF(P21="","",IFERROR(_xlfn.XLOOKUP(P21,PAYROLL!C:C,PAYROLL!K:K,"",0,-1),""))</f>
        <v>27320</v>
      </c>
      <c r="U21" s="93" t="str">
        <f>IF(P21="","",IFERROR(_xlfn.XLOOKUP(P21,PAYROLL!C:C,PAYROLL!L:L,"",0,-1),""))</f>
        <v>Paid</v>
      </c>
    </row>
    <row r="22" spans="1:21" ht="21.95" customHeight="1" x14ac:dyDescent="0.25">
      <c r="A22" s="55" t="str">
        <v>Number of sales</v>
      </c>
      <c r="B22" s="109">
        <v>53</v>
      </c>
      <c r="N22" s="107" t="s">
        <v>766</v>
      </c>
      <c r="O22">
        <f>COUNTA(SalesRegister[Sale ID])</f>
        <v>53</v>
      </c>
      <c r="P22" s="93" t="str">
        <f>IF(EMPLOYEES!A15="","",EMPLOYEES!A15)</f>
        <v>EMP013</v>
      </c>
      <c r="Q22" s="87" t="str">
        <f>IF(P22="","",EMPLOYEES!B15)</f>
        <v>Pooja Desai</v>
      </c>
      <c r="R22" s="87" t="str">
        <f>IF(P22="","",EMPLOYEES!C15)</f>
        <v>Accounts</v>
      </c>
      <c r="S22" s="100">
        <f>IF(P22="","",EMPLOYEES!F15)</f>
        <v>20000</v>
      </c>
      <c r="T22" s="100">
        <f>IF(P22="","",IFERROR(_xlfn.XLOOKUP(P22,PAYROLL!C:C,PAYROLL!K:K,"",0,-1),""))</f>
        <v>20680</v>
      </c>
      <c r="U22" s="93" t="str">
        <f>IF(P22="","",IFERROR(_xlfn.XLOOKUP(P22,PAYROLL!C:C,PAYROLL!L:L,"",0,-1),""))</f>
        <v>Paid</v>
      </c>
    </row>
    <row r="23" spans="1:21" ht="21.95" customHeight="1" x14ac:dyDescent="0.25">
      <c r="A23" s="55" t="str">
        <v>Total sales amount</v>
      </c>
      <c r="B23" s="109">
        <v>467598</v>
      </c>
      <c r="N23" s="107" t="s">
        <v>767</v>
      </c>
      <c r="O23" s="3">
        <f>SUM(SALES!I:I)</f>
        <v>467598</v>
      </c>
      <c r="P23" s="93" t="str">
        <f>IF(EMPLOYEES!A16="","",EMPLOYEES!A16)</f>
        <v>EMP014</v>
      </c>
      <c r="Q23" s="87" t="str">
        <f>IF(P23="","",EMPLOYEES!B16)</f>
        <v>Nikhil Rao</v>
      </c>
      <c r="R23" s="87" t="str">
        <f>IF(P23="","",EMPLOYEES!C16)</f>
        <v>Sales</v>
      </c>
      <c r="S23" s="100">
        <f>IF(P23="","",EMPLOYEES!F16)</f>
        <v>30000</v>
      </c>
      <c r="T23" s="100">
        <f>IF(P23="","",IFERROR(_xlfn.XLOOKUP(P23,PAYROLL!C:C,PAYROLL!K:K,"",0,-1),""))</f>
        <v>32020</v>
      </c>
      <c r="U23" s="93" t="str">
        <f>IF(P23="","",IFERROR(_xlfn.XLOOKUP(P23,PAYROLL!C:C,PAYROLL!L:L,"",0,-1),""))</f>
        <v>Paid</v>
      </c>
    </row>
    <row r="24" spans="1:21" ht="21.95" customHeight="1" x14ac:dyDescent="0.25">
      <c r="A24" s="55" t="str">
        <v>Total customers</v>
      </c>
      <c r="B24" s="109">
        <v>51</v>
      </c>
      <c r="N24" s="107" t="s">
        <v>768</v>
      </c>
      <c r="O24">
        <f>COUNTA(CustomerMaster[Customer ID])</f>
        <v>51</v>
      </c>
      <c r="P24" s="93" t="str">
        <f>IF(EMPLOYEES!A17="","",EMPLOYEES!A17)</f>
        <v>EMP015</v>
      </c>
      <c r="Q24" s="87" t="str">
        <f>IF(P24="","",EMPLOYEES!B17)</f>
        <v>Sneha Kulkarni</v>
      </c>
      <c r="R24" s="87" t="str">
        <f>IF(P24="","",EMPLOYEES!C17)</f>
        <v>Payroll</v>
      </c>
      <c r="S24" s="100">
        <f>IF(P24="","",EMPLOYEES!F17)</f>
        <v>21000</v>
      </c>
      <c r="T24" s="100">
        <f>IF(P24="","",IFERROR(_xlfn.XLOOKUP(P24,PAYROLL!C:C,PAYROLL!K:K,"",0,-1),""))</f>
        <v>22050</v>
      </c>
      <c r="U24" s="93" t="str">
        <f>IF(P24="","",IFERROR(_xlfn.XLOOKUP(P24,PAYROLL!C:C,PAYROLL!L:L,"",0,-1),""))</f>
        <v>Paid</v>
      </c>
    </row>
    <row r="25" spans="1:21" x14ac:dyDescent="0.25">
      <c r="A25" s="55" t="str">
        <v>Total employees</v>
      </c>
      <c r="B25" s="109">
        <v>50</v>
      </c>
      <c r="N25" s="107" t="s">
        <v>769</v>
      </c>
      <c r="O25">
        <f>COUNTA(EmployeeMaster[Employee ID])</f>
        <v>50</v>
      </c>
      <c r="P25" s="93" t="str">
        <f>IF(EMPLOYEES!A18="","",EMPLOYEES!A18)</f>
        <v>EMP016</v>
      </c>
      <c r="Q25" s="87" t="str">
        <f>IF(P25="","",EMPLOYEES!B18)</f>
        <v>Manish Tiwari</v>
      </c>
      <c r="R25" s="87" t="str">
        <f>IF(P25="","",EMPLOYEES!C18)</f>
        <v>Inventory</v>
      </c>
      <c r="S25" s="100">
        <f>IF(P25="","",EMPLOYEES!F18)</f>
        <v>19000</v>
      </c>
      <c r="T25" s="100">
        <f>IF(P25="","",IFERROR(_xlfn.XLOOKUP(P25,PAYROLL!C:C,PAYROLL!K:K,"",0,-1),""))</f>
        <v>19870</v>
      </c>
      <c r="U25" s="93" t="str">
        <f>IF(P25="","",IFERROR(_xlfn.XLOOKUP(P25,PAYROLL!C:C,PAYROLL!L:L,"",0,-1),""))</f>
        <v>Paid</v>
      </c>
    </row>
    <row r="26" spans="1:21" x14ac:dyDescent="0.25">
      <c r="A26" s="55" t="str">
        <v>Active staff</v>
      </c>
      <c r="B26" s="109">
        <v>46</v>
      </c>
      <c r="N26" s="107" t="s">
        <v>770</v>
      </c>
      <c r="O26">
        <f>COUNTIF(EMPLOYEES!I:I,"Active")</f>
        <v>46</v>
      </c>
      <c r="P26" s="93" t="str">
        <f>IF(EMPLOYEES!A19="","",EMPLOYEES!A19)</f>
        <v>EMP017</v>
      </c>
      <c r="Q26" s="87" t="str">
        <f>IF(P26="","",EMPLOYEES!B19)</f>
        <v>Ritu Chauhan</v>
      </c>
      <c r="R26" s="87" t="str">
        <f>IF(P26="","",EMPLOYEES!C19)</f>
        <v>HR</v>
      </c>
      <c r="S26" s="100">
        <f>IF(P26="","",EMPLOYEES!F19)</f>
        <v>42000</v>
      </c>
      <c r="T26" s="100">
        <f>IF(P26="","",IFERROR(_xlfn.XLOOKUP(P26,PAYROLL!C:C,PAYROLL!K:K,"",0,-1),""))</f>
        <v>44850</v>
      </c>
      <c r="U26" s="93" t="str">
        <f>IF(P26="","",IFERROR(_xlfn.XLOOKUP(P26,PAYROLL!C:C,PAYROLL!L:L,"",0,-1),""))</f>
        <v>Paid</v>
      </c>
    </row>
    <row r="27" spans="1:21" x14ac:dyDescent="0.25">
      <c r="A27" s="55" t="str">
        <v>Total SKUs</v>
      </c>
      <c r="B27" s="109">
        <v>52</v>
      </c>
      <c r="N27" s="107" t="s">
        <v>771</v>
      </c>
      <c r="O27">
        <f>COUNTA(InventoryMaster[Product ID])</f>
        <v>52</v>
      </c>
      <c r="P27" s="93" t="str">
        <f>IF(EMPLOYEES!A20="","",EMPLOYEES!A20)</f>
        <v>EMP018</v>
      </c>
      <c r="Q27" s="87" t="str">
        <f>IF(P27="","",EMPLOYEES!B20)</f>
        <v>Sanjay Gupta</v>
      </c>
      <c r="R27" s="87" t="str">
        <f>IF(P27="","",EMPLOYEES!C20)</f>
        <v>Sales</v>
      </c>
      <c r="S27" s="100">
        <f>IF(P27="","",EMPLOYEES!F20)</f>
        <v>25000</v>
      </c>
      <c r="T27" s="100">
        <f>IF(P27="","",IFERROR(_xlfn.XLOOKUP(P27,PAYROLL!C:C,PAYROLL!K:K,"",0,-1),""))</f>
        <v>26420</v>
      </c>
      <c r="U27" s="93" t="str">
        <f>IF(P27="","",IFERROR(_xlfn.XLOOKUP(P27,PAYROLL!C:C,PAYROLL!L:L,"",0,-1),""))</f>
        <v>Paid</v>
      </c>
    </row>
    <row r="28" spans="1:21" x14ac:dyDescent="0.25">
      <c r="A28" s="55" t="str">
        <v>Units on hand</v>
      </c>
      <c r="B28" s="109">
        <v>914</v>
      </c>
      <c r="N28" s="107" t="s">
        <v>764</v>
      </c>
      <c r="O28">
        <f>SUM(INVENTORY!J3:J54)</f>
        <v>914</v>
      </c>
      <c r="P28" s="93" t="str">
        <f>IF(EMPLOYEES!A21="","",EMPLOYEES!A21)</f>
        <v>EMP019</v>
      </c>
      <c r="Q28" s="87" t="str">
        <f>IF(P28="","",EMPLOYEES!B21)</f>
        <v>Divya Menon</v>
      </c>
      <c r="R28" s="87" t="str">
        <f>IF(P28="","",EMPLOYEES!C21)</f>
        <v>Accounts</v>
      </c>
      <c r="S28" s="100">
        <f>IF(P28="","",EMPLOYEES!F21)</f>
        <v>30000</v>
      </c>
      <c r="T28" s="100">
        <f>IF(P28="","",IFERROR(_xlfn.XLOOKUP(P28,PAYROLL!C:C,PAYROLL!K:K,"",0,-1),""))</f>
        <v>31840</v>
      </c>
      <c r="U28" s="93" t="str">
        <f>IF(P28="","",IFERROR(_xlfn.XLOOKUP(P28,PAYROLL!C:C,PAYROLL!L:L,"",0,-1),""))</f>
        <v>Paid</v>
      </c>
    </row>
    <row r="29" spans="1:21" x14ac:dyDescent="0.25">
      <c r="A29" s="55" t="str">
        <v>Low stock items</v>
      </c>
      <c r="B29" s="109">
        <v>11</v>
      </c>
      <c r="N29" s="107" t="s">
        <v>772</v>
      </c>
      <c r="O29">
        <f>COUNTIF(INVENTORY!L:L,"LOW STOCK")</f>
        <v>11</v>
      </c>
      <c r="P29" s="93" t="str">
        <f>IF(EMPLOYEES!A22="","",EMPLOYEES!A22)</f>
        <v>EMP020</v>
      </c>
      <c r="Q29" s="87" t="str">
        <f>IF(P29="","",EMPLOYEES!B22)</f>
        <v>Karan Singh</v>
      </c>
      <c r="R29" s="87" t="str">
        <f>IF(P29="","",EMPLOYEES!C22)</f>
        <v>Inventory</v>
      </c>
      <c r="S29" s="100">
        <f>IF(P29="","",EMPLOYEES!F22)</f>
        <v>26000</v>
      </c>
      <c r="T29" s="100">
        <f>IF(P29="","",IFERROR(_xlfn.XLOOKUP(P29,PAYROLL!C:C,PAYROLL!K:K,"",0,-1),""))</f>
        <v>27310</v>
      </c>
      <c r="U29" s="93" t="str">
        <f>IF(P29="","",IFERROR(_xlfn.XLOOKUP(P29,PAYROLL!C:C,PAYROLL!L:L,"",0,-1),""))</f>
        <v>Paid</v>
      </c>
    </row>
    <row r="30" spans="1:21" x14ac:dyDescent="0.25">
      <c r="A30" s="55" t="str">
        <v>Payroll total</v>
      </c>
      <c r="B30" s="109">
        <v>758266.92307692301</v>
      </c>
      <c r="N30" s="107" t="s">
        <v>773</v>
      </c>
      <c r="O30">
        <f>SUMIF(PAYROLL!B3:B53,$B$12,PAYROLL!K3:K53)</f>
        <v>758266.92307692301</v>
      </c>
      <c r="P30" s="93" t="str">
        <f>IF(EMPLOYEES!A23="","",EMPLOYEES!A23)</f>
        <v>EMP021</v>
      </c>
      <c r="Q30" s="87" t="str">
        <f>IF(P30="","",EMPLOYEES!B23)</f>
        <v>Ananya Bose</v>
      </c>
      <c r="R30" s="87" t="str">
        <f>IF(P30="","",EMPLOYEES!C23)</f>
        <v>HR</v>
      </c>
      <c r="S30" s="100">
        <f>IF(P30="","",EMPLOYEES!F23)</f>
        <v>29000</v>
      </c>
      <c r="T30" s="100">
        <f>IF(P30="","",IFERROR(_xlfn.XLOOKUP(P30,PAYROLL!C:C,PAYROLL!K:K,"",0,-1),""))</f>
        <v>30680</v>
      </c>
      <c r="U30" s="93" t="str">
        <f>IF(P30="","",IFERROR(_xlfn.XLOOKUP(P30,PAYROLL!C:C,PAYROLL!L:L,"",0,-1),""))</f>
        <v>Paid</v>
      </c>
    </row>
    <row r="31" spans="1:21" x14ac:dyDescent="0.25">
      <c r="A31" s="55" t="str">
        <v>Payroll paid</v>
      </c>
      <c r="B31" s="109">
        <v>593000</v>
      </c>
      <c r="N31" s="107" t="s">
        <v>774</v>
      </c>
      <c r="O31">
        <f>SUMIFS(PAYROLL!K3:K53,PAYROLL!B3:B53,$B$12,PAYROLL!L3:L53,"Paid")</f>
        <v>593000</v>
      </c>
      <c r="P31" s="93" t="str">
        <f>IF(EMPLOYEES!A24="","",EMPLOYEES!A24)</f>
        <v>EMP022</v>
      </c>
      <c r="Q31" s="87" t="str">
        <f>IF(P31="","",EMPLOYEES!B24)</f>
        <v>Vivek Sharma</v>
      </c>
      <c r="R31" s="87" t="str">
        <f>IF(P31="","",EMPLOYEES!C24)</f>
        <v>Sales</v>
      </c>
      <c r="S31" s="100">
        <f>IF(P31="","",EMPLOYEES!F24)</f>
        <v>18000</v>
      </c>
      <c r="T31" s="100">
        <f>IF(P31="","",IFERROR(_xlfn.XLOOKUP(P31,PAYROLL!C:C,PAYROLL!K:K,"",0,-1),""))</f>
        <v>18380</v>
      </c>
      <c r="U31" s="93" t="str">
        <f>IF(P31="","",IFERROR(_xlfn.XLOOKUP(P31,PAYROLL!C:C,PAYROLL!L:L,"",0,-1),""))</f>
        <v>Unpaid</v>
      </c>
    </row>
    <row r="32" spans="1:21" x14ac:dyDescent="0.25">
      <c r="P32" s="93" t="str">
        <f>IF(EMPLOYEES!A25="","",EMPLOYEES!A25)</f>
        <v>EMP023</v>
      </c>
      <c r="Q32" s="87" t="str">
        <f>IF(P32="","",EMPLOYEES!B25)</f>
        <v>Shalini Pandey</v>
      </c>
      <c r="R32" s="87" t="str">
        <f>IF(P32="","",EMPLOYEES!C25)</f>
        <v>Payroll</v>
      </c>
      <c r="S32" s="100">
        <f>IF(P32="","",EMPLOYEES!F25)</f>
        <v>28000</v>
      </c>
      <c r="T32" s="100">
        <f>IF(P32="","",IFERROR(_xlfn.XLOOKUP(P32,PAYROLL!C:C,PAYROLL!K:K,"",0,-1),""))</f>
        <v>29520</v>
      </c>
      <c r="U32" s="93" t="str">
        <f>IF(P32="","",IFERROR(_xlfn.XLOOKUP(P32,PAYROLL!C:C,PAYROLL!L:L,"",0,-1),""))</f>
        <v>Paid</v>
      </c>
    </row>
    <row r="33" spans="16:21" x14ac:dyDescent="0.25">
      <c r="P33" s="93" t="str">
        <f>IF(EMPLOYEES!A26="","",EMPLOYEES!A26)</f>
        <v>EMP024</v>
      </c>
      <c r="Q33" s="87" t="str">
        <f>IF(P33="","",EMPLOYEES!B26)</f>
        <v>Harsh Vardhan</v>
      </c>
      <c r="R33" s="87" t="str">
        <f>IF(P33="","",EMPLOYEES!C26)</f>
        <v>Inventory</v>
      </c>
      <c r="S33" s="100">
        <f>IF(P33="","",EMPLOYEES!F26)</f>
        <v>18000</v>
      </c>
      <c r="T33" s="100">
        <f>IF(P33="","",IFERROR(_xlfn.XLOOKUP(P33,PAYROLL!C:C,PAYROLL!K:K,"",0,-1),""))</f>
        <v>18840</v>
      </c>
      <c r="U33" s="93" t="str">
        <f>IF(P33="","",IFERROR(_xlfn.XLOOKUP(P33,PAYROLL!C:C,PAYROLL!L:L,"",0,-1),""))</f>
        <v>Paid</v>
      </c>
    </row>
    <row r="34" spans="16:21" x14ac:dyDescent="0.25">
      <c r="P34" s="93" t="str">
        <f>IF(EMPLOYEES!A27="","",EMPLOYEES!A27)</f>
        <v>EMP025</v>
      </c>
      <c r="Q34" s="87" t="str">
        <f>IF(P34="","",EMPLOYEES!B27)</f>
        <v>Nisha Agarwal</v>
      </c>
      <c r="R34" s="87" t="str">
        <f>IF(P34="","",EMPLOYEES!C27)</f>
        <v>Accounts</v>
      </c>
      <c r="S34" s="100">
        <f>IF(P34="","",EMPLOYEES!F27)</f>
        <v>33000</v>
      </c>
      <c r="T34" s="100">
        <f>IF(P34="","",IFERROR(_xlfn.XLOOKUP(P34,PAYROLL!C:C,PAYROLL!K:K,"",0,-1),""))</f>
        <v>35180</v>
      </c>
      <c r="U34" s="93" t="str">
        <f>IF(P34="","",IFERROR(_xlfn.XLOOKUP(P34,PAYROLL!C:C,PAYROLL!L:L,"",0,-1),""))</f>
        <v>Paid</v>
      </c>
    </row>
    <row r="35" spans="16:21" x14ac:dyDescent="0.25">
      <c r="P35" s="93" t="str">
        <f>IF(EMPLOYEES!A28="","",EMPLOYEES!A28)</f>
        <v>EMP026</v>
      </c>
      <c r="Q35" s="87" t="str">
        <f>IF(P35="","",EMPLOYEES!B28)</f>
        <v>tushar</v>
      </c>
      <c r="R35" s="87" t="str">
        <f>IF(P35="","",EMPLOYEES!C28)</f>
        <v>HR</v>
      </c>
      <c r="S35" s="100">
        <f>IF(P35="","",EMPLOYEES!F28)</f>
        <v>50000</v>
      </c>
      <c r="T35" s="100" t="str">
        <f>IF(P35="","",IFERROR(_xlfn.XLOOKUP(P35,PAYROLL!C:C,PAYROLL!K:K,"",0,-1),""))</f>
        <v/>
      </c>
      <c r="U35" s="93" t="str">
        <f>IF(P35="","",IFERROR(_xlfn.XLOOKUP(P35,PAYROLL!C:C,PAYROLL!L:L,"",0,-1),""))</f>
        <v/>
      </c>
    </row>
    <row r="36" spans="16:21" x14ac:dyDescent="0.25">
      <c r="P36" s="93" t="str">
        <f>IF(EMPLOYEES!A29="","",EMPLOYEES!A29)</f>
        <v>EMP027</v>
      </c>
      <c r="Q36" s="87" t="str">
        <f>IF(P36="","",EMPLOYEES!B29)</f>
        <v>Kavita Joshi</v>
      </c>
      <c r="R36" s="87" t="str">
        <f>IF(P36="","",EMPLOYEES!C29)</f>
        <v>Sales</v>
      </c>
      <c r="S36" s="100">
        <f>IF(P36="","",EMPLOYEES!F29)</f>
        <v>25000</v>
      </c>
      <c r="T36" s="100" t="str">
        <f>IF(P36="","",IFERROR(_xlfn.XLOOKUP(P36,PAYROLL!C:C,PAYROLL!K:K,"",0,-1),""))</f>
        <v/>
      </c>
      <c r="U36" s="93" t="str">
        <f>IF(P36="","",IFERROR(_xlfn.XLOOKUP(P36,PAYROLL!C:C,PAYROLL!L:L,"",0,-1),""))</f>
        <v/>
      </c>
    </row>
    <row r="37" spans="16:21" x14ac:dyDescent="0.25">
      <c r="P37" s="93" t="str">
        <f>IF(EMPLOYEES!A30="","",EMPLOYEES!A30)</f>
        <v>EMP028</v>
      </c>
      <c r="Q37" s="87" t="str">
        <f>IF(P37="","",EMPLOYEES!B30)</f>
        <v>Rohit Malhotra</v>
      </c>
      <c r="R37" s="87" t="str">
        <f>IF(P37="","",EMPLOYEES!C30)</f>
        <v>Accounts</v>
      </c>
      <c r="S37" s="100">
        <f>IF(P37="","",EMPLOYEES!F30)</f>
        <v>22000</v>
      </c>
      <c r="T37" s="100" t="str">
        <f>IF(P37="","",IFERROR(_xlfn.XLOOKUP(P37,PAYROLL!C:C,PAYROLL!K:K,"",0,-1),""))</f>
        <v/>
      </c>
      <c r="U37" s="93" t="str">
        <f>IF(P37="","",IFERROR(_xlfn.XLOOKUP(P37,PAYROLL!C:C,PAYROLL!L:L,"",0,-1),""))</f>
        <v/>
      </c>
    </row>
    <row r="38" spans="16:21" x14ac:dyDescent="0.25">
      <c r="P38" s="93" t="str">
        <f>IF(EMPLOYEES!A31="","",EMPLOYEES!A31)</f>
        <v>EMP029</v>
      </c>
      <c r="Q38" s="87" t="str">
        <f>IF(P38="","",EMPLOYEES!B31)</f>
        <v>Sneha Iyer</v>
      </c>
      <c r="R38" s="87" t="str">
        <f>IF(P38="","",EMPLOYEES!C31)</f>
        <v>HR</v>
      </c>
      <c r="S38" s="100">
        <f>IF(P38="","",EMPLOYEES!F31)</f>
        <v>24000</v>
      </c>
      <c r="T38" s="100" t="str">
        <f>IF(P38="","",IFERROR(_xlfn.XLOOKUP(P38,PAYROLL!C:C,PAYROLL!K:K,"",0,-1),""))</f>
        <v/>
      </c>
      <c r="U38" s="93" t="str">
        <f>IF(P38="","",IFERROR(_xlfn.XLOOKUP(P38,PAYROLL!C:C,PAYROLL!L:L,"",0,-1),""))</f>
        <v/>
      </c>
    </row>
    <row r="39" spans="16:21" x14ac:dyDescent="0.25">
      <c r="P39" s="93" t="str">
        <f>IF(EMPLOYEES!A32="","",EMPLOYEES!A32)</f>
        <v>EMP030</v>
      </c>
      <c r="Q39" s="87" t="str">
        <f>IF(P39="","",EMPLOYEES!B32)</f>
        <v>Vikram Chauhan</v>
      </c>
      <c r="R39" s="87" t="str">
        <f>IF(P39="","",EMPLOYEES!C32)</f>
        <v>Inventory</v>
      </c>
      <c r="S39" s="100">
        <f>IF(P39="","",EMPLOYEES!F32)</f>
        <v>32000</v>
      </c>
      <c r="T39" s="100" t="str">
        <f>IF(P39="","",IFERROR(_xlfn.XLOOKUP(P39,PAYROLL!C:C,PAYROLL!K:K,"",0,-1),""))</f>
        <v/>
      </c>
      <c r="U39" s="93" t="str">
        <f>IF(P39="","",IFERROR(_xlfn.XLOOKUP(P39,PAYROLL!C:C,PAYROLL!L:L,"",0,-1),""))</f>
        <v/>
      </c>
    </row>
    <row r="40" spans="16:21" x14ac:dyDescent="0.25">
      <c r="P40" s="93" t="str">
        <f>IF(EMPLOYEES!A33="","",EMPLOYEES!A33)</f>
        <v>EMP031</v>
      </c>
      <c r="Q40" s="87" t="str">
        <f>IF(P40="","",EMPLOYEES!B33)</f>
        <v>Anjali Nair</v>
      </c>
      <c r="R40" s="87" t="str">
        <f>IF(P40="","",EMPLOYEES!C33)</f>
        <v>Payroll</v>
      </c>
      <c r="S40" s="100">
        <f>IF(P40="","",EMPLOYEES!F33)</f>
        <v>30000</v>
      </c>
      <c r="T40" s="100" t="str">
        <f>IF(P40="","",IFERROR(_xlfn.XLOOKUP(P40,PAYROLL!C:C,PAYROLL!K:K,"",0,-1),""))</f>
        <v/>
      </c>
      <c r="U40" s="93" t="str">
        <f>IF(P40="","",IFERROR(_xlfn.XLOOKUP(P40,PAYROLL!C:C,PAYROLL!L:L,"",0,-1),""))</f>
        <v/>
      </c>
    </row>
    <row r="41" spans="16:21" x14ac:dyDescent="0.25">
      <c r="P41" s="93" t="str">
        <f>IF(EMPLOYEES!A34="","",EMPLOYEES!A34)</f>
        <v>EMP032</v>
      </c>
      <c r="Q41" s="87" t="str">
        <f>IF(P41="","",EMPLOYEES!B34)</f>
        <v>Deepak Reddy</v>
      </c>
      <c r="R41" s="87" t="str">
        <f>IF(P41="","",EMPLOYEES!C34)</f>
        <v>Sales</v>
      </c>
      <c r="S41" s="100">
        <f>IF(P41="","",EMPLOYEES!F34)</f>
        <v>38000</v>
      </c>
      <c r="T41" s="100" t="str">
        <f>IF(P41="","",IFERROR(_xlfn.XLOOKUP(P41,PAYROLL!C:C,PAYROLL!K:K,"",0,-1),""))</f>
        <v/>
      </c>
      <c r="U41" s="93" t="str">
        <f>IF(P41="","",IFERROR(_xlfn.XLOOKUP(P41,PAYROLL!C:C,PAYROLL!L:L,"",0,-1),""))</f>
        <v/>
      </c>
    </row>
    <row r="42" spans="16:21" x14ac:dyDescent="0.25">
      <c r="P42" s="93" t="str">
        <f>IF(EMPLOYEES!A35="","",EMPLOYEES!A35)</f>
        <v>EMP033</v>
      </c>
      <c r="Q42" s="87" t="str">
        <f>IF(P42="","",EMPLOYEES!B35)</f>
        <v>Pooja Bansal</v>
      </c>
      <c r="R42" s="87" t="str">
        <f>IF(P42="","",EMPLOYEES!C35)</f>
        <v>Accounts</v>
      </c>
      <c r="S42" s="100">
        <f>IF(P42="","",EMPLOYEES!F35)</f>
        <v>36000</v>
      </c>
      <c r="T42" s="100" t="str">
        <f>IF(P42="","",IFERROR(_xlfn.XLOOKUP(P42,PAYROLL!C:C,PAYROLL!K:K,"",0,-1),""))</f>
        <v/>
      </c>
      <c r="U42" s="93" t="str">
        <f>IF(P42="","",IFERROR(_xlfn.XLOOKUP(P42,PAYROLL!C:C,PAYROLL!L:L,"",0,-1),""))</f>
        <v/>
      </c>
    </row>
    <row r="43" spans="16:21" x14ac:dyDescent="0.25">
      <c r="P43" s="93" t="str">
        <f>IF(EMPLOYEES!A36="","",EMPLOYEES!A36)</f>
        <v>EMP034</v>
      </c>
      <c r="Q43" s="87" t="str">
        <f>IF(P43="","",EMPLOYEES!B36)</f>
        <v>Sanjay Kulkarni</v>
      </c>
      <c r="R43" s="87" t="str">
        <f>IF(P43="","",EMPLOYEES!C36)</f>
        <v>Inventory</v>
      </c>
      <c r="S43" s="100">
        <f>IF(P43="","",EMPLOYEES!F36)</f>
        <v>19000</v>
      </c>
      <c r="T43" s="100" t="str">
        <f>IF(P43="","",IFERROR(_xlfn.XLOOKUP(P43,PAYROLL!C:C,PAYROLL!K:K,"",0,-1),""))</f>
        <v/>
      </c>
      <c r="U43" s="93" t="str">
        <f>IF(P43="","",IFERROR(_xlfn.XLOOKUP(P43,PAYROLL!C:C,PAYROLL!L:L,"",0,-1),""))</f>
        <v/>
      </c>
    </row>
    <row r="44" spans="16:21" x14ac:dyDescent="0.25">
      <c r="P44" s="93" t="str">
        <f>IF(EMPLOYEES!A37="","",EMPLOYEES!A37)</f>
        <v>EMP035</v>
      </c>
      <c r="Q44" s="87" t="str">
        <f>IF(P44="","",EMPLOYEES!B37)</f>
        <v>Meera Pillai</v>
      </c>
      <c r="R44" s="87" t="str">
        <f>IF(P44="","",EMPLOYEES!C37)</f>
        <v>HR</v>
      </c>
      <c r="S44" s="100">
        <f>IF(P44="","",EMPLOYEES!F37)</f>
        <v>42000</v>
      </c>
      <c r="T44" s="100" t="str">
        <f>IF(P44="","",IFERROR(_xlfn.XLOOKUP(P44,PAYROLL!C:C,PAYROLL!K:K,"",0,-1),""))</f>
        <v/>
      </c>
      <c r="U44" s="93" t="str">
        <f>IF(P44="","",IFERROR(_xlfn.XLOOKUP(P44,PAYROLL!C:C,PAYROLL!L:L,"",0,-1),""))</f>
        <v/>
      </c>
    </row>
    <row r="45" spans="16:21" x14ac:dyDescent="0.25">
      <c r="P45" s="93" t="str">
        <f>IF(EMPLOYEES!A38="","",EMPLOYEES!A38)</f>
        <v>EMP036</v>
      </c>
      <c r="Q45" s="87" t="str">
        <f>IF(P45="","",EMPLOYEES!B38)</f>
        <v>Arjun Sethi</v>
      </c>
      <c r="R45" s="87" t="str">
        <f>IF(P45="","",EMPLOYEES!C38)</f>
        <v>Sales</v>
      </c>
      <c r="S45" s="100">
        <f>IF(P45="","",EMPLOYEES!F38)</f>
        <v>23000</v>
      </c>
      <c r="T45" s="100" t="str">
        <f>IF(P45="","",IFERROR(_xlfn.XLOOKUP(P45,PAYROLL!C:C,PAYROLL!K:K,"",0,-1),""))</f>
        <v/>
      </c>
      <c r="U45" s="93" t="str">
        <f>IF(P45="","",IFERROR(_xlfn.XLOOKUP(P45,PAYROLL!C:C,PAYROLL!L:L,"",0,-1),""))</f>
        <v/>
      </c>
    </row>
    <row r="46" spans="16:21" x14ac:dyDescent="0.25">
      <c r="P46" s="93" t="str">
        <f>IF(EMPLOYEES!A39="","",EMPLOYEES!A39)</f>
        <v>EMP037</v>
      </c>
      <c r="Q46" s="87" t="str">
        <f>IF(P46="","",EMPLOYEES!B39)</f>
        <v>Ritika Deshmukh</v>
      </c>
      <c r="R46" s="87" t="str">
        <f>IF(P46="","",EMPLOYEES!C39)</f>
        <v>Payroll</v>
      </c>
      <c r="S46" s="100">
        <f>IF(P46="","",EMPLOYEES!F39)</f>
        <v>27000</v>
      </c>
      <c r="T46" s="100" t="str">
        <f>IF(P46="","",IFERROR(_xlfn.XLOOKUP(P46,PAYROLL!C:C,PAYROLL!K:K,"",0,-1),""))</f>
        <v/>
      </c>
      <c r="U46" s="93" t="str">
        <f>IF(P46="","",IFERROR(_xlfn.XLOOKUP(P46,PAYROLL!C:C,PAYROLL!L:L,"",0,-1),""))</f>
        <v/>
      </c>
    </row>
    <row r="47" spans="16:21" x14ac:dyDescent="0.25">
      <c r="P47" s="93" t="str">
        <f>IF(EMPLOYEES!A40="","",EMPLOYEES!A40)</f>
        <v>EMP038</v>
      </c>
      <c r="Q47" s="87" t="str">
        <f>IF(P47="","",EMPLOYEES!B40)</f>
        <v>Nikhil Bhatt</v>
      </c>
      <c r="R47" s="87" t="str">
        <f>IF(P47="","",EMPLOYEES!C40)</f>
        <v>Accounts</v>
      </c>
      <c r="S47" s="100">
        <f>IF(P47="","",EMPLOYEES!F40)</f>
        <v>31000</v>
      </c>
      <c r="T47" s="100" t="str">
        <f>IF(P47="","",IFERROR(_xlfn.XLOOKUP(P47,PAYROLL!C:C,PAYROLL!K:K,"",0,-1),""))</f>
        <v/>
      </c>
      <c r="U47" s="93" t="str">
        <f>IF(P47="","",IFERROR(_xlfn.XLOOKUP(P47,PAYROLL!C:C,PAYROLL!L:L,"",0,-1),""))</f>
        <v/>
      </c>
    </row>
    <row r="48" spans="16:21" x14ac:dyDescent="0.25">
      <c r="P48" s="93" t="str">
        <f>IF(EMPLOYEES!A41="","",EMPLOYEES!A41)</f>
        <v>EMP039</v>
      </c>
      <c r="Q48" s="87" t="str">
        <f>IF(P48="","",EMPLOYEES!B41)</f>
        <v>Tanvi Kapoor</v>
      </c>
      <c r="R48" s="87" t="str">
        <f>IF(P48="","",EMPLOYEES!C41)</f>
        <v>Sales</v>
      </c>
      <c r="S48" s="100">
        <f>IF(P48="","",EMPLOYEES!F41)</f>
        <v>34000</v>
      </c>
      <c r="T48" s="100" t="str">
        <f>IF(P48="","",IFERROR(_xlfn.XLOOKUP(P48,PAYROLL!C:C,PAYROLL!K:K,"",0,-1),""))</f>
        <v/>
      </c>
      <c r="U48" s="93" t="str">
        <f>IF(P48="","",IFERROR(_xlfn.XLOOKUP(P48,PAYROLL!C:C,PAYROLL!L:L,"",0,-1),""))</f>
        <v/>
      </c>
    </row>
    <row r="49" spans="16:21" x14ac:dyDescent="0.25">
      <c r="P49" s="93" t="str">
        <f>IF(EMPLOYEES!A42="","",EMPLOYEES!A42)</f>
        <v>EMP040</v>
      </c>
      <c r="Q49" s="87" t="str">
        <f>IF(P49="","",EMPLOYEES!B42)</f>
        <v>Gaurav Menon</v>
      </c>
      <c r="R49" s="87" t="str">
        <f>IF(P49="","",EMPLOYEES!C42)</f>
        <v>Inventory</v>
      </c>
      <c r="S49" s="100">
        <f>IF(P49="","",EMPLOYEES!F42)</f>
        <v>21000</v>
      </c>
      <c r="T49" s="100" t="str">
        <f>IF(P49="","",IFERROR(_xlfn.XLOOKUP(P49,PAYROLL!C:C,PAYROLL!K:K,"",0,-1),""))</f>
        <v/>
      </c>
      <c r="U49" s="93" t="str">
        <f>IF(P49="","",IFERROR(_xlfn.XLOOKUP(P49,PAYROLL!C:C,PAYROLL!L:L,"",0,-1),""))</f>
        <v/>
      </c>
    </row>
    <row r="50" spans="16:21" x14ac:dyDescent="0.25">
      <c r="P50" s="93" t="str">
        <f>IF(EMPLOYEES!A43="","",EMPLOYEES!A43)</f>
        <v>EMP041</v>
      </c>
      <c r="Q50" s="87" t="str">
        <f>IF(P50="","",EMPLOYEES!B43)</f>
        <v>Ishita Rao</v>
      </c>
      <c r="R50" s="87" t="str">
        <f>IF(P50="","",EMPLOYEES!C43)</f>
        <v>HR</v>
      </c>
      <c r="S50" s="100">
        <f>IF(P50="","",EMPLOYEES!F43)</f>
        <v>26000</v>
      </c>
      <c r="T50" s="100" t="str">
        <f>IF(P50="","",IFERROR(_xlfn.XLOOKUP(P50,PAYROLL!C:C,PAYROLL!K:K,"",0,-1),""))</f>
        <v/>
      </c>
      <c r="U50" s="93" t="str">
        <f>IF(P50="","",IFERROR(_xlfn.XLOOKUP(P50,PAYROLL!C:C,PAYROLL!L:L,"",0,-1),""))</f>
        <v/>
      </c>
    </row>
    <row r="51" spans="16:21" x14ac:dyDescent="0.25">
      <c r="P51" s="93" t="str">
        <f>IF(EMPLOYEES!A44="","",EMPLOYEES!A44)</f>
        <v>EMP042</v>
      </c>
      <c r="Q51" s="87" t="str">
        <f>IF(P51="","",EMPLOYEES!B44)</f>
        <v>Manish Tiwari</v>
      </c>
      <c r="R51" s="87" t="str">
        <f>IF(P51="","",EMPLOYEES!C44)</f>
        <v>Payroll</v>
      </c>
      <c r="S51" s="100">
        <f>IF(P51="","",EMPLOYEES!F44)</f>
        <v>20000</v>
      </c>
      <c r="T51" s="100" t="str">
        <f>IF(P51="","",IFERROR(_xlfn.XLOOKUP(P51,PAYROLL!C:C,PAYROLL!K:K,"",0,-1),""))</f>
        <v/>
      </c>
      <c r="U51" s="93" t="str">
        <f>IF(P51="","",IFERROR(_xlfn.XLOOKUP(P51,PAYROLL!C:C,PAYROLL!L:L,"",0,-1),""))</f>
        <v/>
      </c>
    </row>
    <row r="52" spans="16:21" x14ac:dyDescent="0.25">
      <c r="P52" s="93" t="str">
        <f>IF(EMPLOYEES!A45="","",EMPLOYEES!A45)</f>
        <v>EMP043</v>
      </c>
      <c r="Q52" s="87" t="str">
        <f>IF(P52="","",EMPLOYEES!B45)</f>
        <v>Divya Sinha</v>
      </c>
      <c r="R52" s="87" t="str">
        <f>IF(P52="","",EMPLOYEES!C45)</f>
        <v>Accounts</v>
      </c>
      <c r="S52" s="100">
        <f>IF(P52="","",EMPLOYEES!F45)</f>
        <v>18000</v>
      </c>
      <c r="T52" s="100" t="str">
        <f>IF(P52="","",IFERROR(_xlfn.XLOOKUP(P52,PAYROLL!C:C,PAYROLL!K:K,"",0,-1),""))</f>
        <v/>
      </c>
      <c r="U52" s="93" t="str">
        <f>IF(P52="","",IFERROR(_xlfn.XLOOKUP(P52,PAYROLL!C:C,PAYROLL!L:L,"",0,-1),""))</f>
        <v/>
      </c>
    </row>
    <row r="53" spans="16:21" x14ac:dyDescent="0.25">
      <c r="P53" s="93" t="str">
        <f>IF(EMPLOYEES!A46="","",EMPLOYEES!A46)</f>
        <v>EMP044</v>
      </c>
      <c r="Q53" s="87" t="str">
        <f>IF(P53="","",EMPLOYEES!B46)</f>
        <v>Yash Thakur</v>
      </c>
      <c r="R53" s="87" t="str">
        <f>IF(P53="","",EMPLOYEES!C46)</f>
        <v>Sales</v>
      </c>
      <c r="S53" s="100">
        <f>IF(P53="","",EMPLOYEES!F46)</f>
        <v>22000</v>
      </c>
      <c r="T53" s="100" t="str">
        <f>IF(P53="","",IFERROR(_xlfn.XLOOKUP(P53,PAYROLL!C:C,PAYROLL!K:K,"",0,-1),""))</f>
        <v/>
      </c>
      <c r="U53" s="93" t="str">
        <f>IF(P53="","",IFERROR(_xlfn.XLOOKUP(P53,PAYROLL!C:C,PAYROLL!L:L,"",0,-1),""))</f>
        <v/>
      </c>
    </row>
    <row r="54" spans="16:21" x14ac:dyDescent="0.25">
      <c r="P54" s="93" t="str">
        <f>IF(EMPLOYEES!A47="","",EMPLOYEES!A47)</f>
        <v>EMP045</v>
      </c>
      <c r="Q54" s="87" t="str">
        <f>IF(P54="","",EMPLOYEES!B47)</f>
        <v>Komal Jain</v>
      </c>
      <c r="R54" s="87" t="str">
        <f>IF(P54="","",EMPLOYEES!C47)</f>
        <v>Inventory</v>
      </c>
      <c r="S54" s="100">
        <f>IF(P54="","",EMPLOYEES!F47)</f>
        <v>28000</v>
      </c>
      <c r="T54" s="100" t="str">
        <f>IF(P54="","",IFERROR(_xlfn.XLOOKUP(P54,PAYROLL!C:C,PAYROLL!K:K,"",0,-1),""))</f>
        <v/>
      </c>
      <c r="U54" s="93" t="str">
        <f>IF(P54="","",IFERROR(_xlfn.XLOOKUP(P54,PAYROLL!C:C,PAYROLL!L:L,"",0,-1),""))</f>
        <v/>
      </c>
    </row>
    <row r="55" spans="16:21" x14ac:dyDescent="0.25">
      <c r="P55" s="93" t="str">
        <f>IF(EMPLOYEES!A48="","",EMPLOYEES!A48)</f>
        <v>EMP046</v>
      </c>
      <c r="Q55" s="87" t="str">
        <f>IF(P55="","",EMPLOYEES!B48)</f>
        <v>Pranav Iyer</v>
      </c>
      <c r="R55" s="87" t="str">
        <f>IF(P55="","",EMPLOYEES!C48)</f>
        <v>HR</v>
      </c>
      <c r="S55" s="100">
        <f>IF(P55="","",EMPLOYEES!F48)</f>
        <v>25000</v>
      </c>
      <c r="T55" s="100" t="str">
        <f>IF(P55="","",IFERROR(_xlfn.XLOOKUP(P55,PAYROLL!C:C,PAYROLL!K:K,"",0,-1),""))</f>
        <v/>
      </c>
      <c r="U55" s="93" t="str">
        <f>IF(P55="","",IFERROR(_xlfn.XLOOKUP(P55,PAYROLL!C:C,PAYROLL!L:L,"",0,-1),""))</f>
        <v/>
      </c>
    </row>
    <row r="56" spans="16:21" x14ac:dyDescent="0.25">
      <c r="P56" s="93" t="str">
        <f>IF(EMPLOYEES!A49="","",EMPLOYEES!A49)</f>
        <v>EMP047</v>
      </c>
      <c r="Q56" s="87" t="str">
        <f>IF(P56="","",EMPLOYEES!B49)</f>
        <v>Rhea Dutta</v>
      </c>
      <c r="R56" s="87" t="str">
        <f>IF(P56="","",EMPLOYEES!C49)</f>
        <v>Accounts</v>
      </c>
      <c r="S56" s="100">
        <f>IF(P56="","",EMPLOYEES!F49)</f>
        <v>37000</v>
      </c>
      <c r="T56" s="100" t="str">
        <f>IF(P56="","",IFERROR(_xlfn.XLOOKUP(P56,PAYROLL!C:C,PAYROLL!K:K,"",0,-1),""))</f>
        <v/>
      </c>
      <c r="U56" s="93" t="str">
        <f>IF(P56="","",IFERROR(_xlfn.XLOOKUP(P56,PAYROLL!C:C,PAYROLL!L:L,"",0,-1),""))</f>
        <v/>
      </c>
    </row>
    <row r="57" spans="16:21" x14ac:dyDescent="0.25">
      <c r="P57" s="93" t="str">
        <f>IF(EMPLOYEES!A50="","",EMPLOYEES!A50)</f>
        <v>EMP048</v>
      </c>
      <c r="Q57" s="87" t="str">
        <f>IF(P57="","",EMPLOYEES!B50)</f>
        <v>Aditya Bose</v>
      </c>
      <c r="R57" s="87" t="str">
        <f>IF(P57="","",EMPLOYEES!C50)</f>
        <v>Sales</v>
      </c>
      <c r="S57" s="100">
        <f>IF(P57="","",EMPLOYEES!F50)</f>
        <v>45000</v>
      </c>
      <c r="T57" s="100" t="str">
        <f>IF(P57="","",IFERROR(_xlfn.XLOOKUP(P57,PAYROLL!C:C,PAYROLL!K:K,"",0,-1),""))</f>
        <v/>
      </c>
      <c r="U57" s="93" t="str">
        <f>IF(P57="","",IFERROR(_xlfn.XLOOKUP(P57,PAYROLL!C:C,PAYROLL!L:L,"",0,-1),""))</f>
        <v/>
      </c>
    </row>
    <row r="58" spans="16:21" x14ac:dyDescent="0.25">
      <c r="P58" s="93" t="str">
        <f>IF(EMPLOYEES!A51="","",EMPLOYEES!A51)</f>
        <v>EMP049</v>
      </c>
      <c r="Q58" s="87" t="str">
        <f>IF(P58="","",EMPLOYEES!B51)</f>
        <v>Neelam Yadav</v>
      </c>
      <c r="R58" s="87" t="str">
        <f>IF(P58="","",EMPLOYEES!C51)</f>
        <v>Payroll</v>
      </c>
      <c r="S58" s="100">
        <f>IF(P58="","",EMPLOYEES!F51)</f>
        <v>29000</v>
      </c>
      <c r="T58" s="100" t="str">
        <f>IF(P58="","",IFERROR(_xlfn.XLOOKUP(P58,PAYROLL!C:C,PAYROLL!K:K,"",0,-1),""))</f>
        <v/>
      </c>
      <c r="U58" s="93" t="str">
        <f>IF(P58="","",IFERROR(_xlfn.XLOOKUP(P58,PAYROLL!C:C,PAYROLL!L:L,"",0,-1),""))</f>
        <v/>
      </c>
    </row>
    <row r="59" spans="16:21" x14ac:dyDescent="0.25">
      <c r="P59" s="93" t="str">
        <f>IF(EMPLOYEES!A52="","",EMPLOYEES!A52)</f>
        <v>EMP050</v>
      </c>
      <c r="Q59" s="87" t="str">
        <f>IF(P59="","",EMPLOYEES!B52)</f>
        <v>Siddharth Pal</v>
      </c>
      <c r="R59" s="87" t="str">
        <f>IF(P59="","",EMPLOYEES!C52)</f>
        <v>Inventory</v>
      </c>
      <c r="S59" s="100">
        <f>IF(P59="","",EMPLOYEES!F52)</f>
        <v>40000</v>
      </c>
      <c r="T59" s="100" t="str">
        <f>IF(P59="","",IFERROR(_xlfn.XLOOKUP(P59,PAYROLL!C:C,PAYROLL!K:K,"",0,-1),""))</f>
        <v/>
      </c>
      <c r="U59" s="93" t="str">
        <f>IF(P59="","",IFERROR(_xlfn.XLOOKUP(P59,PAYROLL!C:C,PAYROLL!L:L,"",0,-1),""))</f>
        <v/>
      </c>
    </row>
  </sheetData>
  <sheetProtection sheet="1" scenarios="1" formatColumns="0"/>
  <mergeCells count="35">
    <mergeCell ref="AI2:AJ2"/>
    <mergeCell ref="P2:R2"/>
    <mergeCell ref="P8:U8"/>
    <mergeCell ref="W2:X2"/>
    <mergeCell ref="Y2:AB2"/>
    <mergeCell ref="Y3:AB3"/>
    <mergeCell ref="A19:L19"/>
    <mergeCell ref="C14:D14"/>
    <mergeCell ref="A1:D1"/>
    <mergeCell ref="A3:D3"/>
    <mergeCell ref="A4:D4"/>
    <mergeCell ref="A5:D5"/>
    <mergeCell ref="A6:D6"/>
    <mergeCell ref="A7:D7"/>
    <mergeCell ref="A16:D16"/>
    <mergeCell ref="A17:D17"/>
    <mergeCell ref="F1:I1"/>
    <mergeCell ref="F2:I2"/>
    <mergeCell ref="F4:G4"/>
    <mergeCell ref="H4:I4"/>
    <mergeCell ref="F5:G5"/>
    <mergeCell ref="H5:I5"/>
    <mergeCell ref="F6:G6"/>
    <mergeCell ref="H6:I6"/>
    <mergeCell ref="A8:D8"/>
    <mergeCell ref="A9:D9"/>
    <mergeCell ref="B11:D11"/>
    <mergeCell ref="B12:D12"/>
    <mergeCell ref="A14:B14"/>
    <mergeCell ref="F7:G7"/>
    <mergeCell ref="H7:I7"/>
    <mergeCell ref="F8:G8"/>
    <mergeCell ref="H8:I8"/>
    <mergeCell ref="F10:I10"/>
    <mergeCell ref="F12:H12"/>
  </mergeCells>
  <dataValidations count="2">
    <dataValidation type="list" allowBlank="1" showInputMessage="1" showErrorMessage="1" sqref="B12" xr:uid="{BE1CCBBB-2D5E-41D6-9C6E-9B0142E75DE2}">
      <formula1>$K$1:$K$2</formula1>
    </dataValidation>
    <dataValidation type="list" allowBlank="1" showInputMessage="1" showErrorMessage="1" sqref="B11" xr:uid="{873B2EE6-849C-48FE-B659-33A17168E5DD}">
      <formula1>$K$4:$K$9</formula1>
    </dataValidation>
  </dataValidations>
  <printOptions horizontalCentered="1"/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oHome">
                <anchor moveWithCells="1" sizeWithCells="1">
                  <from>
                    <xdr:col>0</xdr:col>
                    <xdr:colOff>238125</xdr:colOff>
                    <xdr:row>0</xdr:row>
                    <xdr:rowOff>38100</xdr:rowOff>
                  </from>
                  <to>
                    <xdr:col>0</xdr:col>
                    <xdr:colOff>1209675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A20E-6683-4025-AC74-D6DB1C9D0042}">
  <sheetPr codeName="Sheet9">
    <tabColor rgb="FF1B365D"/>
  </sheetPr>
  <dimension ref="B1:E17"/>
  <sheetViews>
    <sheetView showGridLines="0" workbookViewId="0">
      <selection activeCell="B1" sqref="B1:C1"/>
    </sheetView>
  </sheetViews>
  <sheetFormatPr defaultRowHeight="15" x14ac:dyDescent="0.25"/>
  <cols>
    <col min="2" max="2" width="30.42578125" customWidth="1"/>
    <col min="3" max="3" width="34.28515625" customWidth="1"/>
    <col min="5" max="5" width="9.140625" style="1"/>
  </cols>
  <sheetData>
    <row r="1" spans="2:5" ht="32.1" customHeight="1" x14ac:dyDescent="0.25">
      <c r="B1" s="172" t="s">
        <v>775</v>
      </c>
      <c r="C1" s="174"/>
      <c r="E1" s="59" t="s">
        <v>732</v>
      </c>
    </row>
    <row r="2" spans="2:5" ht="21.95" customHeight="1" thickBot="1" x14ac:dyDescent="0.3">
      <c r="B2" s="7"/>
      <c r="C2" s="8"/>
      <c r="E2" s="59" t="s">
        <v>733</v>
      </c>
    </row>
    <row r="3" spans="2:5" ht="21.95" customHeight="1" thickBot="1" x14ac:dyDescent="0.3">
      <c r="B3" s="133" t="s">
        <v>776</v>
      </c>
      <c r="C3" s="134"/>
    </row>
    <row r="4" spans="2:5" ht="21.95" customHeight="1" x14ac:dyDescent="0.25">
      <c r="B4" s="9" t="s">
        <v>777</v>
      </c>
      <c r="C4" s="24" t="s">
        <v>778</v>
      </c>
      <c r="E4" s="1" t="s">
        <v>783</v>
      </c>
    </row>
    <row r="5" spans="2:5" ht="21.95" customHeight="1" x14ac:dyDescent="0.25">
      <c r="B5" s="9" t="s">
        <v>182</v>
      </c>
      <c r="C5" s="24" t="s">
        <v>779</v>
      </c>
      <c r="E5" s="1" t="s">
        <v>792</v>
      </c>
    </row>
    <row r="6" spans="2:5" ht="21.95" customHeight="1" x14ac:dyDescent="0.25">
      <c r="B6" s="9" t="s">
        <v>23</v>
      </c>
      <c r="C6" s="24" t="s">
        <v>29</v>
      </c>
      <c r="E6" s="1" t="s">
        <v>793</v>
      </c>
    </row>
    <row r="7" spans="2:5" ht="21.95" customHeight="1" x14ac:dyDescent="0.25">
      <c r="B7" s="9" t="s">
        <v>24</v>
      </c>
      <c r="C7" s="24" t="s">
        <v>780</v>
      </c>
    </row>
    <row r="8" spans="2:5" ht="21.95" customHeight="1" thickBot="1" x14ac:dyDescent="0.3">
      <c r="B8" s="7"/>
      <c r="C8" s="8"/>
      <c r="E8" s="1" t="s">
        <v>791</v>
      </c>
    </row>
    <row r="9" spans="2:5" ht="21.95" customHeight="1" thickBot="1" x14ac:dyDescent="0.3">
      <c r="B9" s="133" t="s">
        <v>781</v>
      </c>
      <c r="C9" s="134"/>
      <c r="E9" s="1" t="s">
        <v>794</v>
      </c>
    </row>
    <row r="10" spans="2:5" ht="21.95" customHeight="1" x14ac:dyDescent="0.25">
      <c r="B10" s="9" t="s">
        <v>782</v>
      </c>
      <c r="C10" s="28" t="s">
        <v>783</v>
      </c>
      <c r="E10" s="1" t="s">
        <v>795</v>
      </c>
    </row>
    <row r="11" spans="2:5" ht="21.95" customHeight="1" x14ac:dyDescent="0.25">
      <c r="B11" s="9" t="s">
        <v>784</v>
      </c>
      <c r="C11" s="110">
        <v>0.18</v>
      </c>
    </row>
    <row r="12" spans="2:5" ht="21.95" customHeight="1" x14ac:dyDescent="0.25">
      <c r="B12" s="9" t="s">
        <v>785</v>
      </c>
      <c r="C12" s="28" t="s">
        <v>786</v>
      </c>
    </row>
    <row r="13" spans="2:5" ht="21.95" customHeight="1" thickBot="1" x14ac:dyDescent="0.3">
      <c r="B13" s="7"/>
      <c r="C13" s="8"/>
    </row>
    <row r="14" spans="2:5" ht="21.95" customHeight="1" thickBot="1" x14ac:dyDescent="0.3">
      <c r="B14" s="133" t="s">
        <v>787</v>
      </c>
      <c r="C14" s="134"/>
    </row>
    <row r="15" spans="2:5" ht="21.95" customHeight="1" x14ac:dyDescent="0.25">
      <c r="B15" s="9" t="s">
        <v>788</v>
      </c>
      <c r="C15" s="63" t="s">
        <v>732</v>
      </c>
    </row>
    <row r="16" spans="2:5" ht="21.95" customHeight="1" x14ac:dyDescent="0.25">
      <c r="B16" s="9" t="s">
        <v>789</v>
      </c>
      <c r="C16" s="52">
        <v>5</v>
      </c>
    </row>
    <row r="17" spans="2:3" ht="21.95" customHeight="1" thickBot="1" x14ac:dyDescent="0.3">
      <c r="B17" s="34" t="s">
        <v>790</v>
      </c>
      <c r="C17" s="111" t="s">
        <v>791</v>
      </c>
    </row>
  </sheetData>
  <sheetProtection sheet="1" scenarios="1"/>
  <mergeCells count="4">
    <mergeCell ref="B1:C1"/>
    <mergeCell ref="B3:C3"/>
    <mergeCell ref="B9:C9"/>
    <mergeCell ref="B14:C14"/>
  </mergeCells>
  <dataValidations count="3">
    <dataValidation type="list" allowBlank="1" showInputMessage="1" showErrorMessage="1" sqref="C10" xr:uid="{AB596E88-B0DF-468C-8146-1E1015403CF8}">
      <formula1>$E$4:$E$6</formula1>
    </dataValidation>
    <dataValidation type="list" allowBlank="1" showInputMessage="1" showErrorMessage="1" sqref="C15" xr:uid="{4DDCAFD3-36DE-4140-B316-A17F39E5C8E6}">
      <formula1>$E$1:$E$2</formula1>
    </dataValidation>
    <dataValidation type="list" allowBlank="1" showInputMessage="1" showErrorMessage="1" sqref="C17" xr:uid="{71BDE5FA-EE07-4D5A-8AEF-EC1E30EC0F28}">
      <formula1>$E$8:$E$10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oHome">
                <anchor moveWithCells="1" sizeWithCells="1">
                  <from>
                    <xdr:col>1</xdr:col>
                    <xdr:colOff>180975</xdr:colOff>
                    <xdr:row>0</xdr:row>
                    <xdr:rowOff>38100</xdr:rowOff>
                  </from>
                  <to>
                    <xdr:col>1</xdr:col>
                    <xdr:colOff>1152525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23CA-5DAF-42EF-8386-41A189867154}">
  <sheetPr codeName="Sheet10">
    <tabColor rgb="FF1B365D"/>
  </sheetPr>
  <dimension ref="A1:H80"/>
  <sheetViews>
    <sheetView workbookViewId="0">
      <selection activeCell="D17" sqref="D17"/>
    </sheetView>
  </sheetViews>
  <sheetFormatPr defaultRowHeight="15" x14ac:dyDescent="0.25"/>
  <cols>
    <col min="1" max="1" width="22.85546875" customWidth="1"/>
    <col min="2" max="2" width="21" customWidth="1"/>
    <col min="3" max="3" width="22.85546875" customWidth="1"/>
    <col min="4" max="4" width="26.7109375" customWidth="1"/>
    <col min="5" max="6" width="22.85546875" customWidth="1"/>
    <col min="7" max="7" width="21" customWidth="1"/>
    <col min="8" max="8" width="22.85546875" customWidth="1"/>
  </cols>
  <sheetData>
    <row r="1" spans="1:8" ht="21" x14ac:dyDescent="0.35">
      <c r="A1" s="128" t="s">
        <v>926</v>
      </c>
      <c r="B1" s="128"/>
      <c r="C1" s="128"/>
      <c r="D1" s="128"/>
      <c r="E1" s="128"/>
      <c r="F1" s="128"/>
      <c r="G1" s="128"/>
      <c r="H1" s="128"/>
    </row>
    <row r="2" spans="1:8" ht="21.95" customHeight="1" x14ac:dyDescent="0.25">
      <c r="A2" s="6" t="s">
        <v>927</v>
      </c>
      <c r="B2" s="6" t="s">
        <v>928</v>
      </c>
      <c r="C2" s="6" t="s">
        <v>480</v>
      </c>
      <c r="D2" s="6" t="s">
        <v>481</v>
      </c>
      <c r="E2" s="6" t="s">
        <v>929</v>
      </c>
      <c r="F2" s="6" t="s">
        <v>605</v>
      </c>
      <c r="G2" s="6" t="s">
        <v>930</v>
      </c>
      <c r="H2" s="6" t="s">
        <v>931</v>
      </c>
    </row>
    <row r="3" spans="1:8" x14ac:dyDescent="0.25">
      <c r="A3" s="123" t="s">
        <v>963</v>
      </c>
      <c r="B3" s="124" t="s">
        <v>170</v>
      </c>
      <c r="C3" s="123" t="s">
        <v>492</v>
      </c>
      <c r="D3" s="125" t="s">
        <v>493</v>
      </c>
      <c r="E3" s="126" t="s">
        <v>932</v>
      </c>
      <c r="F3" s="127">
        <v>5</v>
      </c>
      <c r="G3" s="125" t="s">
        <v>933</v>
      </c>
      <c r="H3" s="126" t="s">
        <v>26</v>
      </c>
    </row>
    <row r="4" spans="1:8" x14ac:dyDescent="0.25">
      <c r="A4" s="123" t="s">
        <v>964</v>
      </c>
      <c r="B4" s="124" t="s">
        <v>394</v>
      </c>
      <c r="C4" s="123" t="s">
        <v>496</v>
      </c>
      <c r="D4" s="125" t="s">
        <v>497</v>
      </c>
      <c r="E4" s="126" t="s">
        <v>932</v>
      </c>
      <c r="F4" s="127">
        <v>10</v>
      </c>
      <c r="G4" s="125" t="s">
        <v>933</v>
      </c>
      <c r="H4" s="126" t="s">
        <v>32</v>
      </c>
    </row>
    <row r="5" spans="1:8" x14ac:dyDescent="0.25">
      <c r="A5" s="123" t="s">
        <v>965</v>
      </c>
      <c r="B5" s="124" t="s">
        <v>305</v>
      </c>
      <c r="C5" s="123" t="s">
        <v>492</v>
      </c>
      <c r="D5" s="125" t="s">
        <v>493</v>
      </c>
      <c r="E5" s="126" t="s">
        <v>934</v>
      </c>
      <c r="F5" s="127">
        <v>1</v>
      </c>
      <c r="G5" s="125" t="s">
        <v>610</v>
      </c>
      <c r="H5" s="126" t="s">
        <v>26</v>
      </c>
    </row>
    <row r="6" spans="1:8" x14ac:dyDescent="0.25">
      <c r="A6" s="123" t="s">
        <v>966</v>
      </c>
      <c r="B6" s="124" t="s">
        <v>413</v>
      </c>
      <c r="C6" s="123" t="s">
        <v>500</v>
      </c>
      <c r="D6" s="125" t="s">
        <v>501</v>
      </c>
      <c r="E6" s="126" t="s">
        <v>932</v>
      </c>
      <c r="F6" s="127">
        <v>5</v>
      </c>
      <c r="G6" s="125" t="s">
        <v>935</v>
      </c>
      <c r="H6" s="126" t="s">
        <v>800</v>
      </c>
    </row>
    <row r="7" spans="1:8" x14ac:dyDescent="0.25">
      <c r="A7" s="123" t="s">
        <v>967</v>
      </c>
      <c r="B7" s="124" t="s">
        <v>171</v>
      </c>
      <c r="C7" s="123" t="s">
        <v>496</v>
      </c>
      <c r="D7" s="125" t="s">
        <v>497</v>
      </c>
      <c r="E7" s="126" t="s">
        <v>934</v>
      </c>
      <c r="F7" s="127">
        <v>2</v>
      </c>
      <c r="G7" s="125" t="s">
        <v>614</v>
      </c>
      <c r="H7" s="126" t="s">
        <v>32</v>
      </c>
    </row>
    <row r="8" spans="1:8" x14ac:dyDescent="0.25">
      <c r="A8" s="123" t="s">
        <v>968</v>
      </c>
      <c r="B8" s="124" t="s">
        <v>196</v>
      </c>
      <c r="C8" s="123" t="s">
        <v>500</v>
      </c>
      <c r="D8" s="125" t="s">
        <v>501</v>
      </c>
      <c r="E8" s="126" t="s">
        <v>934</v>
      </c>
      <c r="F8" s="127">
        <v>17</v>
      </c>
      <c r="G8" s="125" t="s">
        <v>620</v>
      </c>
      <c r="H8" s="126" t="s">
        <v>26</v>
      </c>
    </row>
    <row r="9" spans="1:8" x14ac:dyDescent="0.25">
      <c r="A9" s="123" t="s">
        <v>969</v>
      </c>
      <c r="B9" s="124" t="s">
        <v>172</v>
      </c>
      <c r="C9" s="123" t="s">
        <v>492</v>
      </c>
      <c r="D9" s="125" t="s">
        <v>493</v>
      </c>
      <c r="E9" s="126" t="s">
        <v>932</v>
      </c>
      <c r="F9" s="127">
        <v>3</v>
      </c>
      <c r="G9" s="125" t="s">
        <v>936</v>
      </c>
      <c r="H9" s="126" t="s">
        <v>800</v>
      </c>
    </row>
    <row r="10" spans="1:8" x14ac:dyDescent="0.25">
      <c r="A10" s="123" t="s">
        <v>970</v>
      </c>
      <c r="B10" s="124" t="s">
        <v>173</v>
      </c>
      <c r="C10" s="123" t="s">
        <v>496</v>
      </c>
      <c r="D10" s="125" t="s">
        <v>497</v>
      </c>
      <c r="E10" s="126" t="s">
        <v>932</v>
      </c>
      <c r="F10" s="127">
        <v>8</v>
      </c>
      <c r="G10" s="125" t="s">
        <v>936</v>
      </c>
      <c r="H10" s="126" t="s">
        <v>32</v>
      </c>
    </row>
    <row r="11" spans="1:8" x14ac:dyDescent="0.25">
      <c r="A11" s="123" t="s">
        <v>937</v>
      </c>
      <c r="B11" s="124">
        <v>46291</v>
      </c>
      <c r="C11" s="123" t="s">
        <v>821</v>
      </c>
      <c r="D11" s="125" t="s">
        <v>820</v>
      </c>
      <c r="E11" s="126" t="s">
        <v>938</v>
      </c>
      <c r="F11" s="127">
        <v>10</v>
      </c>
      <c r="G11" s="125" t="s">
        <v>939</v>
      </c>
      <c r="H11" s="126"/>
    </row>
    <row r="12" spans="1:8" x14ac:dyDescent="0.25">
      <c r="A12" s="123" t="s">
        <v>940</v>
      </c>
      <c r="B12" s="124" t="s">
        <v>827</v>
      </c>
      <c r="C12" s="123" t="s">
        <v>506</v>
      </c>
      <c r="D12" s="125" t="s">
        <v>507</v>
      </c>
      <c r="E12" s="126" t="s">
        <v>941</v>
      </c>
      <c r="F12" s="127">
        <v>1</v>
      </c>
      <c r="G12" s="125" t="s">
        <v>920</v>
      </c>
      <c r="H12" s="126" t="s">
        <v>32</v>
      </c>
    </row>
    <row r="13" spans="1:8" x14ac:dyDescent="0.25">
      <c r="A13" s="123" t="s">
        <v>972</v>
      </c>
      <c r="B13" s="124">
        <v>46291</v>
      </c>
      <c r="C13" s="123" t="s">
        <v>504</v>
      </c>
      <c r="D13" s="125" t="s">
        <v>505</v>
      </c>
      <c r="E13" s="126" t="s">
        <v>941</v>
      </c>
      <c r="F13" s="127">
        <v>2</v>
      </c>
      <c r="G13" s="125" t="s">
        <v>971</v>
      </c>
      <c r="H13" s="126" t="s">
        <v>101</v>
      </c>
    </row>
    <row r="14" spans="1:8" x14ac:dyDescent="0.25">
      <c r="A14" s="20"/>
      <c r="B14" s="22"/>
      <c r="C14" s="20"/>
      <c r="D14" s="21"/>
      <c r="E14" s="21"/>
      <c r="F14" s="48"/>
      <c r="G14" s="21"/>
      <c r="H14" s="21"/>
    </row>
    <row r="15" spans="1:8" x14ac:dyDescent="0.25">
      <c r="A15" s="20"/>
      <c r="B15" s="22"/>
      <c r="C15" s="20"/>
      <c r="D15" s="21"/>
      <c r="E15" s="21"/>
      <c r="F15" s="48"/>
      <c r="G15" s="21"/>
      <c r="H15" s="21"/>
    </row>
    <row r="16" spans="1:8" x14ac:dyDescent="0.25">
      <c r="A16" s="20"/>
      <c r="B16" s="22"/>
      <c r="C16" s="20"/>
      <c r="D16" s="21"/>
      <c r="E16" s="21"/>
      <c r="F16" s="48"/>
      <c r="G16" s="21"/>
      <c r="H16" s="21"/>
    </row>
    <row r="17" spans="1:8" x14ac:dyDescent="0.25">
      <c r="A17" s="20"/>
      <c r="B17" s="22"/>
      <c r="C17" s="20"/>
      <c r="D17" s="21"/>
      <c r="E17" s="21"/>
      <c r="F17" s="48"/>
      <c r="G17" s="21"/>
      <c r="H17" s="21"/>
    </row>
    <row r="18" spans="1:8" x14ac:dyDescent="0.25">
      <c r="A18" s="20"/>
      <c r="B18" s="22"/>
      <c r="C18" s="20"/>
      <c r="D18" s="21"/>
      <c r="E18" s="21"/>
      <c r="F18" s="48"/>
      <c r="G18" s="21"/>
      <c r="H18" s="21"/>
    </row>
    <row r="19" spans="1:8" x14ac:dyDescent="0.25">
      <c r="A19" s="20"/>
      <c r="B19" s="22"/>
      <c r="C19" s="20"/>
      <c r="D19" s="21"/>
      <c r="E19" s="21"/>
      <c r="F19" s="48"/>
      <c r="G19" s="21"/>
      <c r="H19" s="21"/>
    </row>
    <row r="20" spans="1:8" x14ac:dyDescent="0.25">
      <c r="A20" s="20"/>
      <c r="B20" s="22"/>
      <c r="C20" s="20"/>
      <c r="D20" s="21"/>
      <c r="E20" s="21"/>
      <c r="F20" s="48"/>
      <c r="G20" s="21"/>
      <c r="H20" s="21"/>
    </row>
    <row r="21" spans="1:8" x14ac:dyDescent="0.25">
      <c r="A21" s="20"/>
      <c r="B21" s="22"/>
      <c r="C21" s="20"/>
      <c r="D21" s="21"/>
      <c r="E21" s="21"/>
      <c r="F21" s="48"/>
      <c r="G21" s="21"/>
      <c r="H21" s="21"/>
    </row>
    <row r="22" spans="1:8" x14ac:dyDescent="0.25">
      <c r="A22" s="20"/>
      <c r="B22" s="22"/>
      <c r="C22" s="20"/>
      <c r="D22" s="21"/>
      <c r="E22" s="21"/>
      <c r="F22" s="48"/>
      <c r="G22" s="21"/>
      <c r="H22" s="21"/>
    </row>
    <row r="23" spans="1:8" x14ac:dyDescent="0.25">
      <c r="A23" s="20"/>
      <c r="B23" s="22"/>
      <c r="C23" s="20"/>
      <c r="D23" s="21"/>
      <c r="E23" s="21"/>
      <c r="F23" s="48"/>
      <c r="G23" s="21"/>
      <c r="H23" s="21"/>
    </row>
    <row r="24" spans="1:8" x14ac:dyDescent="0.25">
      <c r="A24" s="20"/>
      <c r="B24" s="22"/>
      <c r="C24" s="20"/>
      <c r="D24" s="21"/>
      <c r="E24" s="21"/>
      <c r="F24" s="48"/>
      <c r="G24" s="21"/>
      <c r="H24" s="21"/>
    </row>
    <row r="25" spans="1:8" x14ac:dyDescent="0.25">
      <c r="A25" s="20"/>
      <c r="B25" s="22"/>
      <c r="C25" s="20"/>
      <c r="D25" s="21"/>
      <c r="E25" s="21"/>
      <c r="F25" s="48"/>
      <c r="G25" s="21"/>
      <c r="H25" s="21"/>
    </row>
    <row r="26" spans="1:8" x14ac:dyDescent="0.25">
      <c r="A26" s="20"/>
      <c r="B26" s="22"/>
      <c r="C26" s="20"/>
      <c r="D26" s="21"/>
      <c r="E26" s="21"/>
      <c r="F26" s="48"/>
      <c r="G26" s="21"/>
      <c r="H26" s="21"/>
    </row>
    <row r="27" spans="1:8" x14ac:dyDescent="0.25">
      <c r="A27" s="20"/>
      <c r="B27" s="22"/>
      <c r="C27" s="20"/>
      <c r="D27" s="21"/>
      <c r="E27" s="21"/>
      <c r="F27" s="48"/>
      <c r="G27" s="21"/>
      <c r="H27" s="21"/>
    </row>
    <row r="28" spans="1:8" x14ac:dyDescent="0.25">
      <c r="A28" s="20"/>
      <c r="B28" s="22"/>
      <c r="C28" s="20"/>
      <c r="D28" s="21"/>
      <c r="E28" s="21"/>
      <c r="F28" s="48"/>
      <c r="G28" s="21"/>
      <c r="H28" s="21"/>
    </row>
    <row r="29" spans="1:8" x14ac:dyDescent="0.25">
      <c r="A29" s="20"/>
      <c r="B29" s="22"/>
      <c r="C29" s="20"/>
      <c r="D29" s="21"/>
      <c r="E29" s="21"/>
      <c r="F29" s="48"/>
      <c r="G29" s="21"/>
      <c r="H29" s="21"/>
    </row>
    <row r="30" spans="1:8" x14ac:dyDescent="0.25">
      <c r="A30" s="20"/>
      <c r="B30" s="22"/>
      <c r="C30" s="20"/>
      <c r="D30" s="21"/>
      <c r="E30" s="21"/>
      <c r="F30" s="48"/>
      <c r="G30" s="21"/>
      <c r="H30" s="21"/>
    </row>
    <row r="31" spans="1:8" x14ac:dyDescent="0.25">
      <c r="A31" s="20"/>
      <c r="B31" s="22"/>
      <c r="C31" s="20"/>
      <c r="D31" s="21"/>
      <c r="E31" s="21"/>
      <c r="F31" s="48"/>
      <c r="G31" s="21"/>
      <c r="H31" s="21"/>
    </row>
    <row r="32" spans="1:8" x14ac:dyDescent="0.25">
      <c r="A32" s="20"/>
      <c r="B32" s="22"/>
      <c r="C32" s="20"/>
      <c r="D32" s="21"/>
      <c r="E32" s="21"/>
      <c r="F32" s="48"/>
      <c r="G32" s="21"/>
      <c r="H32" s="21"/>
    </row>
    <row r="33" spans="1:8" x14ac:dyDescent="0.25">
      <c r="A33" s="20"/>
      <c r="B33" s="22"/>
      <c r="C33" s="20"/>
      <c r="D33" s="21"/>
      <c r="E33" s="21"/>
      <c r="F33" s="48"/>
      <c r="G33" s="21"/>
      <c r="H33" s="21"/>
    </row>
    <row r="34" spans="1:8" x14ac:dyDescent="0.25">
      <c r="A34" s="20"/>
      <c r="B34" s="22"/>
      <c r="C34" s="20"/>
      <c r="D34" s="21"/>
      <c r="E34" s="21"/>
      <c r="F34" s="48"/>
      <c r="G34" s="21"/>
      <c r="H34" s="21"/>
    </row>
    <row r="35" spans="1:8" x14ac:dyDescent="0.25">
      <c r="A35" s="20"/>
      <c r="B35" s="22"/>
      <c r="C35" s="20"/>
      <c r="D35" s="21"/>
      <c r="E35" s="21"/>
      <c r="F35" s="48"/>
      <c r="G35" s="21"/>
      <c r="H35" s="21"/>
    </row>
    <row r="36" spans="1:8" x14ac:dyDescent="0.25">
      <c r="A36" s="20"/>
      <c r="B36" s="22"/>
      <c r="C36" s="20"/>
      <c r="D36" s="21"/>
      <c r="E36" s="21"/>
      <c r="F36" s="48"/>
      <c r="G36" s="21"/>
      <c r="H36" s="21"/>
    </row>
    <row r="37" spans="1:8" x14ac:dyDescent="0.25">
      <c r="A37" s="20"/>
      <c r="B37" s="22"/>
      <c r="C37" s="20"/>
      <c r="D37" s="21"/>
      <c r="E37" s="21"/>
      <c r="F37" s="48"/>
      <c r="G37" s="21"/>
      <c r="H37" s="21"/>
    </row>
    <row r="38" spans="1:8" x14ac:dyDescent="0.25">
      <c r="A38" s="20"/>
      <c r="B38" s="22"/>
      <c r="C38" s="20"/>
      <c r="D38" s="21"/>
      <c r="E38" s="21"/>
      <c r="F38" s="48"/>
      <c r="G38" s="21"/>
      <c r="H38" s="21"/>
    </row>
    <row r="39" spans="1:8" x14ac:dyDescent="0.25">
      <c r="A39" s="20"/>
      <c r="B39" s="22"/>
      <c r="C39" s="20"/>
      <c r="D39" s="21"/>
      <c r="E39" s="21"/>
      <c r="F39" s="48"/>
      <c r="G39" s="21"/>
      <c r="H39" s="21"/>
    </row>
    <row r="40" spans="1:8" x14ac:dyDescent="0.25">
      <c r="A40" s="20"/>
      <c r="B40" s="22"/>
      <c r="C40" s="20"/>
      <c r="D40" s="21"/>
      <c r="E40" s="21"/>
      <c r="F40" s="48"/>
      <c r="G40" s="21"/>
      <c r="H40" s="21"/>
    </row>
    <row r="41" spans="1:8" x14ac:dyDescent="0.25">
      <c r="A41" s="20"/>
      <c r="B41" s="22"/>
      <c r="C41" s="20"/>
      <c r="D41" s="21"/>
      <c r="E41" s="21"/>
      <c r="F41" s="48"/>
      <c r="G41" s="21"/>
      <c r="H41" s="21"/>
    </row>
    <row r="42" spans="1:8" x14ac:dyDescent="0.25">
      <c r="A42" s="20"/>
      <c r="B42" s="22"/>
      <c r="C42" s="20"/>
      <c r="D42" s="21"/>
      <c r="E42" s="21"/>
      <c r="F42" s="48"/>
      <c r="G42" s="21"/>
      <c r="H42" s="21"/>
    </row>
    <row r="43" spans="1:8" x14ac:dyDescent="0.25">
      <c r="A43" s="20"/>
      <c r="B43" s="22"/>
      <c r="C43" s="20"/>
      <c r="D43" s="21"/>
      <c r="E43" s="21"/>
      <c r="F43" s="48"/>
      <c r="G43" s="21"/>
      <c r="H43" s="21"/>
    </row>
    <row r="44" spans="1:8" x14ac:dyDescent="0.25">
      <c r="A44" s="20"/>
      <c r="B44" s="22"/>
      <c r="C44" s="20"/>
      <c r="D44" s="21"/>
      <c r="E44" s="21"/>
      <c r="F44" s="48"/>
      <c r="G44" s="21"/>
      <c r="H44" s="21"/>
    </row>
    <row r="45" spans="1:8" x14ac:dyDescent="0.25">
      <c r="A45" s="20"/>
      <c r="B45" s="22"/>
      <c r="C45" s="20"/>
      <c r="D45" s="21"/>
      <c r="E45" s="21"/>
      <c r="F45" s="48"/>
      <c r="G45" s="21"/>
      <c r="H45" s="21"/>
    </row>
    <row r="46" spans="1:8" x14ac:dyDescent="0.25">
      <c r="A46" s="20"/>
      <c r="B46" s="22"/>
      <c r="C46" s="20"/>
      <c r="D46" s="21"/>
      <c r="E46" s="21"/>
      <c r="F46" s="48"/>
      <c r="G46" s="21"/>
      <c r="H46" s="21"/>
    </row>
    <row r="47" spans="1:8" x14ac:dyDescent="0.25">
      <c r="A47" s="20"/>
      <c r="B47" s="22"/>
      <c r="C47" s="20"/>
      <c r="D47" s="21"/>
      <c r="E47" s="21"/>
      <c r="F47" s="48"/>
      <c r="G47" s="21"/>
      <c r="H47" s="21"/>
    </row>
    <row r="48" spans="1:8" x14ac:dyDescent="0.25">
      <c r="A48" s="20"/>
      <c r="B48" s="22"/>
      <c r="C48" s="20"/>
      <c r="D48" s="21"/>
      <c r="E48" s="21"/>
      <c r="F48" s="48"/>
      <c r="G48" s="21"/>
      <c r="H48" s="21"/>
    </row>
    <row r="49" spans="1:8" x14ac:dyDescent="0.25">
      <c r="A49" s="20"/>
      <c r="B49" s="22"/>
      <c r="C49" s="20"/>
      <c r="D49" s="21"/>
      <c r="E49" s="21"/>
      <c r="F49" s="48"/>
      <c r="G49" s="21"/>
      <c r="H49" s="21"/>
    </row>
    <row r="50" spans="1:8" x14ac:dyDescent="0.25">
      <c r="A50" s="20"/>
      <c r="B50" s="22"/>
      <c r="C50" s="20"/>
      <c r="D50" s="21"/>
      <c r="E50" s="21"/>
      <c r="F50" s="48"/>
      <c r="G50" s="21"/>
      <c r="H50" s="21"/>
    </row>
    <row r="51" spans="1:8" x14ac:dyDescent="0.25">
      <c r="A51" s="20"/>
      <c r="B51" s="22"/>
      <c r="C51" s="20"/>
      <c r="D51" s="21"/>
      <c r="E51" s="21"/>
      <c r="F51" s="48"/>
      <c r="G51" s="21"/>
      <c r="H51" s="21"/>
    </row>
    <row r="52" spans="1:8" x14ac:dyDescent="0.25">
      <c r="A52" s="20"/>
      <c r="B52" s="22"/>
      <c r="C52" s="20"/>
      <c r="D52" s="21"/>
      <c r="E52" s="21"/>
      <c r="F52" s="48"/>
      <c r="G52" s="21"/>
      <c r="H52" s="21"/>
    </row>
    <row r="53" spans="1:8" x14ac:dyDescent="0.25">
      <c r="A53" s="20"/>
      <c r="B53" s="22"/>
      <c r="C53" s="20"/>
      <c r="D53" s="21"/>
      <c r="E53" s="21"/>
      <c r="F53" s="48"/>
      <c r="G53" s="21"/>
      <c r="H53" s="21"/>
    </row>
    <row r="54" spans="1:8" x14ac:dyDescent="0.25">
      <c r="A54" s="20"/>
      <c r="B54" s="22"/>
      <c r="C54" s="20"/>
      <c r="D54" s="21"/>
      <c r="E54" s="21"/>
      <c r="F54" s="48"/>
      <c r="G54" s="21"/>
      <c r="H54" s="21"/>
    </row>
    <row r="55" spans="1:8" x14ac:dyDescent="0.25">
      <c r="A55" s="20"/>
      <c r="B55" s="22"/>
      <c r="C55" s="20"/>
      <c r="D55" s="21"/>
      <c r="E55" s="21"/>
      <c r="F55" s="48"/>
      <c r="G55" s="21"/>
      <c r="H55" s="21"/>
    </row>
    <row r="56" spans="1:8" x14ac:dyDescent="0.25">
      <c r="A56" s="20"/>
      <c r="B56" s="22"/>
      <c r="C56" s="20"/>
      <c r="D56" s="21"/>
      <c r="E56" s="21"/>
      <c r="F56" s="48"/>
      <c r="G56" s="21"/>
      <c r="H56" s="21"/>
    </row>
    <row r="57" spans="1:8" x14ac:dyDescent="0.25">
      <c r="A57" s="20"/>
      <c r="B57" s="22"/>
      <c r="C57" s="20"/>
      <c r="D57" s="21"/>
      <c r="E57" s="21"/>
      <c r="F57" s="48"/>
      <c r="G57" s="21"/>
      <c r="H57" s="21"/>
    </row>
    <row r="58" spans="1:8" x14ac:dyDescent="0.25">
      <c r="A58" s="20"/>
      <c r="B58" s="22"/>
      <c r="C58" s="20"/>
      <c r="D58" s="21"/>
      <c r="E58" s="21"/>
      <c r="F58" s="48"/>
      <c r="G58" s="21"/>
      <c r="H58" s="21"/>
    </row>
    <row r="59" spans="1:8" x14ac:dyDescent="0.25">
      <c r="A59" s="20"/>
      <c r="B59" s="22"/>
      <c r="C59" s="20"/>
      <c r="D59" s="21"/>
      <c r="E59" s="21"/>
      <c r="F59" s="48"/>
      <c r="G59" s="21"/>
      <c r="H59" s="21"/>
    </row>
    <row r="60" spans="1:8" x14ac:dyDescent="0.25">
      <c r="A60" s="20"/>
      <c r="B60" s="22"/>
      <c r="C60" s="20"/>
      <c r="D60" s="21"/>
      <c r="E60" s="21"/>
      <c r="F60" s="48"/>
      <c r="G60" s="21"/>
      <c r="H60" s="21"/>
    </row>
    <row r="61" spans="1:8" x14ac:dyDescent="0.25">
      <c r="A61" s="20"/>
      <c r="B61" s="22"/>
      <c r="C61" s="20"/>
      <c r="D61" s="21"/>
      <c r="E61" s="21"/>
      <c r="F61" s="48"/>
      <c r="G61" s="21"/>
      <c r="H61" s="21"/>
    </row>
    <row r="62" spans="1:8" x14ac:dyDescent="0.25">
      <c r="A62" s="20"/>
      <c r="B62" s="22"/>
      <c r="C62" s="20"/>
      <c r="D62" s="21"/>
      <c r="E62" s="21"/>
      <c r="F62" s="48"/>
      <c r="G62" s="21"/>
      <c r="H62" s="21"/>
    </row>
    <row r="63" spans="1:8" x14ac:dyDescent="0.25">
      <c r="A63" s="20"/>
      <c r="B63" s="22"/>
      <c r="C63" s="20"/>
      <c r="D63" s="21"/>
      <c r="E63" s="21"/>
      <c r="F63" s="48"/>
      <c r="G63" s="21"/>
      <c r="H63" s="21"/>
    </row>
    <row r="64" spans="1:8" x14ac:dyDescent="0.25">
      <c r="A64" s="20"/>
      <c r="B64" s="22"/>
      <c r="C64" s="20"/>
      <c r="D64" s="21"/>
      <c r="E64" s="21"/>
      <c r="F64" s="48"/>
      <c r="G64" s="21"/>
      <c r="H64" s="21"/>
    </row>
    <row r="65" spans="1:8" x14ac:dyDescent="0.25">
      <c r="A65" s="20"/>
      <c r="B65" s="22"/>
      <c r="C65" s="20"/>
      <c r="D65" s="21"/>
      <c r="E65" s="21"/>
      <c r="F65" s="48"/>
      <c r="G65" s="21"/>
      <c r="H65" s="21"/>
    </row>
    <row r="66" spans="1:8" x14ac:dyDescent="0.25">
      <c r="A66" s="20"/>
      <c r="B66" s="22"/>
      <c r="C66" s="20"/>
      <c r="D66" s="21"/>
      <c r="E66" s="21"/>
      <c r="F66" s="48"/>
      <c r="G66" s="21"/>
      <c r="H66" s="21"/>
    </row>
    <row r="67" spans="1:8" x14ac:dyDescent="0.25">
      <c r="A67" s="20"/>
      <c r="B67" s="22"/>
      <c r="C67" s="20"/>
      <c r="D67" s="21"/>
      <c r="E67" s="21"/>
      <c r="F67" s="48"/>
      <c r="G67" s="21"/>
      <c r="H67" s="21"/>
    </row>
    <row r="68" spans="1:8" x14ac:dyDescent="0.25">
      <c r="A68" s="20"/>
      <c r="B68" s="22"/>
      <c r="C68" s="20"/>
      <c r="D68" s="21"/>
      <c r="E68" s="21"/>
      <c r="F68" s="48"/>
      <c r="G68" s="21"/>
      <c r="H68" s="21"/>
    </row>
    <row r="69" spans="1:8" x14ac:dyDescent="0.25">
      <c r="A69" s="20"/>
      <c r="B69" s="22"/>
      <c r="C69" s="20"/>
      <c r="D69" s="21"/>
      <c r="E69" s="21"/>
      <c r="F69" s="48"/>
      <c r="G69" s="21"/>
      <c r="H69" s="21"/>
    </row>
    <row r="70" spans="1:8" x14ac:dyDescent="0.25">
      <c r="A70" s="20"/>
      <c r="B70" s="22"/>
      <c r="C70" s="20"/>
      <c r="D70" s="21"/>
      <c r="E70" s="21"/>
      <c r="F70" s="48"/>
      <c r="G70" s="21"/>
      <c r="H70" s="21"/>
    </row>
    <row r="71" spans="1:8" x14ac:dyDescent="0.25">
      <c r="A71" s="20"/>
      <c r="B71" s="22"/>
      <c r="C71" s="20"/>
      <c r="D71" s="21"/>
      <c r="E71" s="21"/>
      <c r="F71" s="48"/>
      <c r="G71" s="21"/>
      <c r="H71" s="21"/>
    </row>
    <row r="72" spans="1:8" x14ac:dyDescent="0.25">
      <c r="A72" s="20"/>
      <c r="B72" s="22"/>
      <c r="C72" s="20"/>
      <c r="D72" s="21"/>
      <c r="E72" s="21"/>
      <c r="F72" s="48"/>
      <c r="G72" s="21"/>
      <c r="H72" s="21"/>
    </row>
    <row r="73" spans="1:8" x14ac:dyDescent="0.25">
      <c r="A73" s="20"/>
      <c r="B73" s="22"/>
      <c r="C73" s="20"/>
      <c r="D73" s="21"/>
      <c r="E73" s="21"/>
      <c r="F73" s="48"/>
      <c r="G73" s="21"/>
      <c r="H73" s="21"/>
    </row>
    <row r="74" spans="1:8" x14ac:dyDescent="0.25">
      <c r="A74" s="20"/>
      <c r="B74" s="22"/>
      <c r="C74" s="20"/>
      <c r="D74" s="21"/>
      <c r="E74" s="21"/>
      <c r="F74" s="48"/>
      <c r="G74" s="21"/>
      <c r="H74" s="21"/>
    </row>
    <row r="75" spans="1:8" x14ac:dyDescent="0.25">
      <c r="A75" s="20"/>
      <c r="B75" s="22"/>
      <c r="C75" s="20"/>
      <c r="D75" s="21"/>
      <c r="E75" s="21"/>
      <c r="F75" s="48"/>
      <c r="G75" s="21"/>
      <c r="H75" s="21"/>
    </row>
    <row r="76" spans="1:8" x14ac:dyDescent="0.25">
      <c r="A76" s="20"/>
      <c r="B76" s="22"/>
      <c r="C76" s="20"/>
      <c r="D76" s="21"/>
      <c r="E76" s="21"/>
      <c r="F76" s="48"/>
      <c r="G76" s="21"/>
      <c r="H76" s="21"/>
    </row>
    <row r="77" spans="1:8" x14ac:dyDescent="0.25">
      <c r="A77" s="20"/>
      <c r="B77" s="22"/>
      <c r="C77" s="20"/>
      <c r="D77" s="21"/>
      <c r="E77" s="21"/>
      <c r="F77" s="48"/>
      <c r="G77" s="21"/>
      <c r="H77" s="21"/>
    </row>
    <row r="78" spans="1:8" x14ac:dyDescent="0.25">
      <c r="A78" s="20"/>
      <c r="B78" s="22"/>
      <c r="C78" s="20"/>
      <c r="D78" s="21"/>
      <c r="E78" s="21"/>
      <c r="F78" s="48"/>
      <c r="G78" s="21"/>
      <c r="H78" s="21"/>
    </row>
    <row r="79" spans="1:8" x14ac:dyDescent="0.25">
      <c r="A79" s="20"/>
      <c r="B79" s="22"/>
      <c r="C79" s="20"/>
      <c r="D79" s="21"/>
      <c r="E79" s="21"/>
      <c r="F79" s="48"/>
      <c r="G79" s="21"/>
      <c r="H79" s="21"/>
    </row>
    <row r="80" spans="1:8" x14ac:dyDescent="0.25">
      <c r="A80" s="20"/>
      <c r="B80" s="22"/>
      <c r="C80" s="20"/>
      <c r="D80" s="21"/>
      <c r="E80" s="21"/>
      <c r="F80" s="48"/>
      <c r="G80" s="21"/>
      <c r="H80" s="21"/>
    </row>
  </sheetData>
  <sheetProtection sheet="1" scenarios="1" autoFilter="0"/>
  <mergeCells count="1">
    <mergeCell ref="A1:H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HOME</vt:lpstr>
      <vt:lpstr>EMPLOYEES</vt:lpstr>
      <vt:lpstr>CUSTOMERS</vt:lpstr>
      <vt:lpstr>INVENTORY</vt:lpstr>
      <vt:lpstr>SALES</vt:lpstr>
      <vt:lpstr>PAYROLL</vt:lpstr>
      <vt:lpstr>DASHBOARD</vt:lpstr>
      <vt:lpstr>REPORTS</vt:lpstr>
      <vt:lpstr>SETTINGS</vt:lpstr>
      <vt:lpstr>Stock_log</vt:lpstr>
      <vt:lpstr>REPORTS!Print_Area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kumar</dc:creator>
  <cp:lastModifiedBy>Tushar kumar</cp:lastModifiedBy>
  <dcterms:created xsi:type="dcterms:W3CDTF">2026-09-25T13:59:32Z</dcterms:created>
  <dcterms:modified xsi:type="dcterms:W3CDTF">2026-10-07T06:10:23Z</dcterms:modified>
</cp:coreProperties>
</file>